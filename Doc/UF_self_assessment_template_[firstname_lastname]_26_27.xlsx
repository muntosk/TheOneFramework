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Tab 1 - Requirements check" sheetId="1" state="visible" r:id="rId1"/>
    <sheet name="Tab 2 - Self Assessment" sheetId="2" state="visible" r:id="rId2"/>
    <sheet name="Tab 3 - Example Self Assessment"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<sst xmlns="http://schemas.openxmlformats.org/spreadsheetml/2006/main" count="125" uniqueCount="125">
  <si>
    <t xml:space="preserve">Preconditions for being graded - check the boxes! (Install offline Microsoft Excel from office.saxion.nl if you don't see checkboxes)</t>
  </si>
  <si>
    <t xml:space="preserve">• Your game can be demonstrated in a build.</t>
  </si>
  <si>
    <t xml:space="preserve">• You filled in this entire self assessment template (see Tab 2 - Self Assessment)</t>
  </si>
  <si>
    <t xml:space="preserve">• You scored sufficient at least on ALL criteria.</t>
  </si>
  <si>
    <t xml:space="preserve">• All upload requirements listed in the assignment description on brightspace are met (see below)</t>
  </si>
  <si>
    <t xml:space="preserve">Upload requirements (see brightspace for more details on each item)</t>
  </si>
  <si>
    <r>
      <t xml:space="preserve">• A filled in </t>
    </r>
    <r>
      <rPr>
        <b/>
        <sz val="11"/>
        <color theme="1"/>
        <rFont val="Calibri"/>
        <scheme val="minor"/>
      </rPr>
      <t xml:space="preserve">and renamed </t>
    </r>
    <r>
      <rPr>
        <sz val="11"/>
        <color theme="1"/>
        <rFont val="Calibri"/>
        <scheme val="minor"/>
      </rPr>
      <t xml:space="preserve">self assessment (see next tab) </t>
    </r>
  </si>
  <si>
    <t xml:space="preserve">• Screenshots of your game </t>
  </si>
  <si>
    <r>
      <t xml:space="preserve">• A game play video in .mp4 format (5-10 minutes max), submitted using </t>
    </r>
    <r>
      <rPr>
        <i/>
        <sz val="11"/>
        <color theme="1"/>
        <rFont val="Calibri"/>
        <scheme val="minor"/>
      </rPr>
      <t>Kaltura</t>
    </r>
    <r>
      <rPr>
        <sz val="11"/>
        <color theme="1"/>
        <rFont val="Calibri"/>
        <scheme val="minor"/>
      </rPr>
      <t>.</t>
    </r>
  </si>
  <si>
    <t xml:space="preserve">• A Self-Assessment &amp; Criteria Discussion Video (15–20 minutes max), submitted using Kaltura.</t>
  </si>
  <si>
    <r>
      <t xml:space="preserve">SELF ASSESSMENT TEMPLATE - </t>
    </r>
    <r>
      <rPr>
        <sz val="24"/>
        <color theme="1"/>
        <rFont val="Calibri"/>
        <scheme val="minor"/>
      </rPr>
      <t xml:space="preserve">HIGHLIGHT IN GREEN WHAT APPLIES, </t>
    </r>
    <r>
      <rPr>
        <b/>
        <sz val="24"/>
        <color theme="1"/>
        <rFont val="Calibri"/>
        <scheme val="minor"/>
      </rPr>
      <t>THEN</t>
    </r>
    <r>
      <rPr>
        <sz val="24"/>
        <color theme="1"/>
        <rFont val="Calibri"/>
        <scheme val="minor"/>
      </rPr>
      <t xml:space="preserve"> SELECT </t>
    </r>
    <r>
      <rPr>
        <b/>
        <sz val="24"/>
        <color theme="1"/>
        <rFont val="Calibri"/>
        <scheme val="minor"/>
      </rPr>
      <t>I</t>
    </r>
    <r>
      <rPr>
        <sz val="24"/>
        <color theme="1"/>
        <rFont val="Calibri"/>
        <scheme val="minor"/>
      </rPr>
      <t xml:space="preserve">, </t>
    </r>
    <r>
      <rPr>
        <b/>
        <sz val="24"/>
        <color theme="1"/>
        <rFont val="Calibri"/>
        <scheme val="minor"/>
      </rPr>
      <t>S</t>
    </r>
    <r>
      <rPr>
        <sz val="24"/>
        <color theme="1"/>
        <rFont val="Calibri"/>
        <scheme val="minor"/>
      </rPr>
      <t xml:space="preserve">, </t>
    </r>
    <r>
      <rPr>
        <b/>
        <sz val="24"/>
        <color theme="1"/>
        <rFont val="Calibri"/>
        <scheme val="minor"/>
      </rPr>
      <t>G</t>
    </r>
    <r>
      <rPr>
        <sz val="24"/>
        <color theme="1"/>
        <rFont val="Calibri"/>
        <scheme val="minor"/>
      </rPr>
      <t xml:space="preserve"> OR </t>
    </r>
    <r>
      <rPr>
        <b/>
        <sz val="24"/>
        <color theme="1"/>
        <rFont val="Calibri"/>
        <scheme val="minor"/>
      </rPr>
      <t>E</t>
    </r>
    <r>
      <rPr>
        <sz val="24"/>
        <color theme="1"/>
        <rFont val="Calibri"/>
        <scheme val="minor"/>
      </rPr>
      <t xml:space="preserve"> IN THE DROPDOWN ON THE </t>
    </r>
    <r>
      <rPr>
        <b/>
        <sz val="24"/>
        <color theme="1"/>
        <rFont val="Calibri"/>
        <scheme val="minor"/>
      </rPr>
      <t>RIGHT</t>
    </r>
  </si>
  <si>
    <t>Criteria</t>
  </si>
  <si>
    <t>Insufficient</t>
  </si>
  <si>
    <t>Sufficient</t>
  </si>
  <si>
    <t>Good</t>
  </si>
  <si>
    <t xml:space="preserve">Excellent (all criteria are met)</t>
  </si>
  <si>
    <t xml:space="preserve">0 points</t>
  </si>
  <si>
    <t xml:space="preserve">0.6 points</t>
  </si>
  <si>
    <t xml:space="preserve">0.8 points</t>
  </si>
  <si>
    <t xml:space="preserve">1 points</t>
  </si>
  <si>
    <t xml:space="preserve">1. (Project &amp; Scene)
    Structure</t>
  </si>
  <si>
    <t xml:space="preserve">Does not meet the sufficient criteria</t>
  </si>
  <si>
    <r>
      <t xml:space="preserve">• </t>
    </r>
    <r>
      <rPr>
        <i/>
        <sz val="11"/>
        <color theme="1"/>
        <rFont val="Calibri"/>
        <scheme val="minor"/>
      </rPr>
      <t>Most</t>
    </r>
    <r>
      <rPr>
        <sz val="11"/>
        <color theme="1"/>
        <rFont val="Calibri"/>
        <scheme val="minor"/>
      </rPr>
      <t xml:space="preserve"> </t>
    </r>
    <r>
      <rPr>
        <i/>
        <sz val="11"/>
        <color theme="1"/>
        <rFont val="Calibri"/>
        <scheme val="minor"/>
      </rPr>
      <t>assets</t>
    </r>
    <r>
      <rPr>
        <sz val="11"/>
        <color theme="1"/>
        <rFont val="Calibri"/>
        <scheme val="minor"/>
      </rPr>
      <t xml:space="preserve"> are organized into folders with correct descriptive names matching the type of asset 
(e.g. Materials, Scripts, Prefabs, etc).</t>
    </r>
  </si>
  <si>
    <r>
      <t xml:space="preserve">At least </t>
    </r>
    <r>
      <rPr>
        <i/>
        <sz val="11"/>
        <color theme="1"/>
        <rFont val="Calibri"/>
        <scheme val="minor"/>
      </rPr>
      <t>half</t>
    </r>
    <r>
      <rPr>
        <sz val="11"/>
        <color theme="1"/>
        <rFont val="Calibri"/>
        <scheme val="minor"/>
      </rPr>
      <t xml:space="preserve"> of the excellent critera </t>
    </r>
    <r>
      <rPr>
        <i/>
        <sz val="11"/>
        <color theme="1"/>
        <rFont val="Calibri"/>
        <scheme val="minor"/>
      </rPr>
      <t xml:space="preserve">rounded up </t>
    </r>
    <r>
      <rPr>
        <sz val="11"/>
        <color theme="1"/>
        <rFont val="Calibri"/>
        <scheme val="minor"/>
      </rPr>
      <t xml:space="preserve">are met.</t>
    </r>
  </si>
  <si>
    <r>
      <t xml:space="preserve">• </t>
    </r>
    <r>
      <rPr>
        <i/>
        <sz val="11"/>
        <color theme="1"/>
        <rFont val="Calibri"/>
        <scheme val="minor"/>
      </rPr>
      <t>All</t>
    </r>
    <r>
      <rPr>
        <sz val="11"/>
        <color theme="1"/>
        <rFont val="Calibri"/>
        <scheme val="minor"/>
      </rPr>
      <t xml:space="preserve"> </t>
    </r>
    <r>
      <rPr>
        <i/>
        <sz val="11"/>
        <color theme="1"/>
        <rFont val="Calibri"/>
        <scheme val="minor"/>
      </rPr>
      <t>assets</t>
    </r>
    <r>
      <rPr>
        <sz val="11"/>
        <color theme="1"/>
        <rFont val="Calibri"/>
        <scheme val="minor"/>
      </rPr>
      <t xml:space="preserve"> are organized into folders with correct descriptive names matching the type of asset and your folder names are consistent with respect to casing, spaces, underscores, etc.</t>
    </r>
  </si>
  <si>
    <t>S</t>
  </si>
  <si>
    <r>
      <t xml:space="preserve">• </t>
    </r>
    <r>
      <rPr>
        <i/>
        <sz val="11"/>
        <color theme="1"/>
        <rFont val="Calibri"/>
        <scheme val="minor"/>
      </rPr>
      <t>GameObjects</t>
    </r>
    <r>
      <rPr>
        <sz val="11"/>
        <color theme="1"/>
        <rFont val="Calibri"/>
        <scheme val="minor"/>
      </rPr>
      <t xml:space="preserve"> are grouped under descriptive parent objects (e.g., Environment, UI, Enemies, Props).</t>
    </r>
  </si>
  <si>
    <r>
      <t xml:space="preserve">• </t>
    </r>
    <r>
      <rPr>
        <i/>
        <sz val="11"/>
        <color theme="1"/>
        <rFont val="Calibri"/>
        <scheme val="minor"/>
      </rPr>
      <t xml:space="preserve">External assets</t>
    </r>
    <r>
      <rPr>
        <sz val="11"/>
        <color theme="1"/>
        <rFont val="Calibri"/>
        <scheme val="minor"/>
      </rPr>
      <t xml:space="preserve"> are organized under a descriptive parent folder (e.g. _External_Assets, _Terrrain_Assets).</t>
    </r>
  </si>
  <si>
    <r>
      <t xml:space="preserve">• </t>
    </r>
    <r>
      <rPr>
        <i/>
        <sz val="11"/>
        <color theme="1"/>
        <rFont val="Calibri"/>
        <scheme val="minor"/>
      </rPr>
      <t>GameObject</t>
    </r>
    <r>
      <rPr>
        <sz val="11"/>
        <color theme="1"/>
        <rFont val="Calibri"/>
        <scheme val="minor"/>
      </rPr>
      <t xml:space="preserve"> names in the hierarchy are descriptive (e.g., Tree_Oak_01 instead of Cube (3)).</t>
    </r>
  </si>
  <si>
    <r>
      <t xml:space="preserve">• The hierarchy uses empty </t>
    </r>
    <r>
      <rPr>
        <i/>
        <sz val="11"/>
        <color theme="1"/>
        <rFont val="Calibri"/>
        <scheme val="minor"/>
      </rPr>
      <t>GameObjects</t>
    </r>
    <r>
      <rPr>
        <sz val="11"/>
        <color theme="1"/>
        <rFont val="Calibri"/>
        <scheme val="minor"/>
      </rPr>
      <t xml:space="preserve"> for labels (e.g. "=== STATIC GEOMETRY ===")
   and spacing (GameObjects named "   ") and clusters items logically (i.e. is clear and understandable to read).</t>
    </r>
  </si>
  <si>
    <t xml:space="preserve">• The project consists of multiple scenes actively used at runtime    
(loaded in parallel or sequentially, e.g. a MainMenuScene and a GamePlayScene).</t>
  </si>
  <si>
    <t xml:space="preserve">2. Prefabs</t>
  </si>
  <si>
    <t xml:space="preserve">• Frequently used GameObjects (e.g., enemies, pickups, obstacles) are implemented as prefabs with clear and descriptive names.</t>
  </si>
  <si>
    <t xml:space="preserve">At least half of the excellent critera rounded up are met.</t>
  </si>
  <si>
    <t xml:space="preserve">• Custom or substantially modified prefabs are being used in addition to external 3rd party prefabs only.</t>
  </si>
  <si>
    <r>
      <t xml:space="preserve">• Prefab </t>
    </r>
    <r>
      <rPr>
        <i/>
        <sz val="11"/>
        <color theme="1"/>
        <rFont val="Calibri"/>
        <scheme val="minor"/>
      </rPr>
      <t xml:space="preserve">instance overrides</t>
    </r>
    <r>
      <rPr>
        <sz val="11"/>
        <color theme="1"/>
        <rFont val="Calibri"/>
        <scheme val="minor"/>
      </rPr>
      <t xml:space="preserve"> have been used to make prefab instances look distinctive and unique.</t>
    </r>
  </si>
  <si>
    <t xml:space="preserve">• Prefab pivot points are correctly placed in the center, bottom, etc based on what is logical for the given object.</t>
  </si>
  <si>
    <r>
      <t xml:space="preserve">• Self-created prefab </t>
    </r>
    <r>
      <rPr>
        <i/>
        <sz val="11"/>
        <color theme="1"/>
        <rFont val="Calibri"/>
        <scheme val="minor"/>
      </rPr>
      <t>variants</t>
    </r>
    <r>
      <rPr>
        <sz val="11"/>
        <color theme="1"/>
        <rFont val="Calibri"/>
        <scheme val="minor"/>
      </rPr>
      <t xml:space="preserve"> are used where appropriate (e.g., multiple variations of a shared base prefab).</t>
    </r>
  </si>
  <si>
    <t xml:space="preserve">3. Assets</t>
  </si>
  <si>
    <t xml:space="preserve">• Your game uses a variety of external asset types, including prefabs, textures, 3D models, and sounds.</t>
  </si>
  <si>
    <t>==&gt;</t>
  </si>
  <si>
    <t xml:space="preserve">• (Most == good, All = Excellent) External assets have been selected to match visually and provide a consistent look &amp; feel (same type of shading, realism, colors, theme, etc).</t>
  </si>
  <si>
    <t xml:space="preserve">• The player is represented by a 3rd person character controller that is visible while the game is playing.</t>
  </si>
  <si>
    <t xml:space="preserve">• The player controller uses a custom mesh that matches the story (i.e. no kyle the default robot).</t>
  </si>
  <si>
    <r>
      <t xml:space="preserve">• Assets </t>
    </r>
    <r>
      <rPr>
        <i/>
        <sz val="11"/>
        <color theme="1"/>
        <rFont val="Calibri"/>
        <scheme val="minor"/>
      </rPr>
      <t xml:space="preserve">other than</t>
    </r>
    <r>
      <rPr>
        <sz val="11"/>
        <color theme="1"/>
        <rFont val="Calibri"/>
        <scheme val="minor"/>
      </rPr>
      <t xml:space="preserve"> the assets provided in the bootcamp have been used for most of the experience.</t>
    </r>
  </si>
  <si>
    <t xml:space="preserve">4. Terrain</t>
  </si>
  <si>
    <r>
      <t xml:space="preserve">A Unity Terrain with a minimum size of 200 x 200 units is used as the </t>
    </r>
    <r>
      <rPr>
        <i/>
        <sz val="11"/>
        <color theme="1"/>
        <rFont val="Calibri"/>
        <scheme val="minor"/>
      </rPr>
      <t xml:space="preserve">base for the playable area</t>
    </r>
    <r>
      <rPr>
        <sz val="11"/>
        <color theme="1"/>
        <rFont val="Calibri"/>
        <scheme val="minor"/>
      </rPr>
      <t xml:space="preserve">, where:</t>
    </r>
  </si>
  <si>
    <t xml:space="preserve">• Multiple texture layers are blended naturally (e.g. soft transitions between dirt, grass, rock).</t>
  </si>
  <si>
    <t>I</t>
  </si>
  <si>
    <t xml:space="preserve">• The terrain is shaped using Unity’s built-in sculpting tools (e.g., raise/lower, smooth, paint height) to create varied topography (e.g., hills, valleys, plateaus).</t>
  </si>
  <si>
    <t xml:space="preserve">• Different terrain layers, vegetation and shapes of different sizes are used in such a way that there is little visible repetition providing a varied and contrasting landscape.</t>
  </si>
  <si>
    <t xml:space="preserve">• At least 3 different terrain layers have been used to indicate different terrain areas 
(e.g. paths, rocky areas, grassy zones).</t>
  </si>
  <si>
    <t xml:space="preserve">• There are different bodies of water, configured to match their types (e.g. foaming sea, still lake).</t>
  </si>
  <si>
    <t xml:space="preserve">• The terrain includes a fair amount of logically placed 'Trees', 'Detail Meshes' and 'Grass Textures'.</t>
  </si>
  <si>
    <t xml:space="preserve">• Advanced terrain features are used, for example, but not limited to:
  • features from the Terrain Tools package (e.g. ramps, mountain brushes, etc)
  • trees, grass &amp; bushes swaying in the wind
  • holes and caves
  • more complicated water types such as waterfalls or rivers </t>
  </si>
  <si>
    <t xml:space="preserve">• The terrain is surrounded by a cleanly fitting ocean or features a lake of some sort.</t>
  </si>
  <si>
    <t xml:space="preserve">5. Colliders</t>
  </si>
  <si>
    <t xml:space="preserve">• All relevant in-game objects (e.g., environment, characters, pickups) have appropriate colliders.</t>
  </si>
  <si>
    <t xml:space="preserve">• World and world elements such as lakes have close fitting boundaries.</t>
  </si>
  <si>
    <t xml:space="preserve">• Basic collider types are used (e.g., BoxCollider, SphereCollider, CapsuleCollider).</t>
  </si>
  <si>
    <t xml:space="preserve">• Object structures have optimized (compound) colliders over mesh colliders.</t>
  </si>
  <si>
    <t xml:space="preserve">• Colliders are correctly aligned with the visible shape of the object.</t>
  </si>
  <si>
    <t xml:space="preserve">• Layers or tags are used in conjunction with collision logic (e.g., only specific layers interact).</t>
  </si>
  <si>
    <t xml:space="preserve">• Player and environment interaction is functional (no falling through floor, etc, walking off the world).</t>
  </si>
  <si>
    <t xml:space="preserve">• Rigid body physics are part of the gameplay interaction.</t>
  </si>
  <si>
    <t xml:space="preserve">6. Interactivity</t>
  </si>
  <si>
    <t xml:space="preserve">• The experience is fully playable without external interference, featuring a clear start, goal, progression and ending.</t>
  </si>
  <si>
    <t xml:space="preserve">• Player controller uses optimized or additional controls (left/right handed running, rolling, etc).</t>
  </si>
  <si>
    <t xml:space="preserve">• Your game includes a character with simple controls that can walk through the environment with a proper camera setup and collisions.</t>
  </si>
  <si>
    <t xml:space="preserve">• The project contains more advanced, self-made interactions based on custom scripting.</t>
  </si>
  <si>
    <t xml:space="preserve">• The project contains simple forms of interactions to achieve the game's goal using existing scripts 
(e.g. collect these 5 objects and you win).</t>
  </si>
  <si>
    <t xml:space="preserve">• The project applies the provided scripts in extensive and creative ways to create complicated walking simulator functionality. (e.g. multiple variables, action sequences, cause and effects sequences are required to attain the end goal).</t>
  </si>
  <si>
    <t xml:space="preserve">• Colliders are used correctly to trigger game events.</t>
  </si>
  <si>
    <t xml:space="preserve">7. Animation</t>
  </si>
  <si>
    <t xml:space="preserve">• The project contains at least 2 self keyframed animations, controlling different properties (e.g. position, size, rotation, color, etc) and these animations are applied to relevant in-game assets (e.g. door opening, spinning pickup, dialog).</t>
  </si>
  <si>
    <t xml:space="preserve">• Animation curves have been applied to convert easing animations into linear or bouncing animations or a similar effect.</t>
  </si>
  <si>
    <t xml:space="preserve">• The animation uses animation events to trigger in game actions such as playing a sound.</t>
  </si>
  <si>
    <t xml:space="preserve">• The player mesh animates correctly.</t>
  </si>
  <si>
    <t xml:space="preserve">• Multiple animations have been combined into an Animation State machine, which is controlled through scripted conditions (In other words, the animation changes state/the state of the world through conditions).</t>
  </si>
  <si>
    <t xml:space="preserve">• Advanced animation features have been used, for example but not limited to: 
blend trees, including additional player animations, …</t>
  </si>
  <si>
    <t xml:space="preserve">8. UI &amp; HUD</t>
  </si>
  <si>
    <t xml:space="preserve">• Includes a Unity Canvas which displays relevant feedback on player progression towards the end goal.</t>
  </si>
  <si>
    <t xml:space="preserve">• Tracks multiple relevant items using images, text and slider/bar variations.</t>
  </si>
  <si>
    <t xml:space="preserve">• Properly uses anchors &amp; canvas scaling for the HUD and in-game menus to make them resolution-independent.</t>
  </si>
  <si>
    <t xml:space="preserve">• Project contains multiple UI's (e.g. StartMenu plus In game HUD).</t>
  </si>
  <si>
    <t xml:space="preserve">• UI is cleanly styled using custom fonts, spacing &amp; colors and consistent with the look and feel of the game.
</t>
  </si>
  <si>
    <t xml:space="preserve">• UI employs a more advanced feature, for example, but not limited to: 9 slice scaling images or similar complicated image modes, use of layout managers, tweening libraries for UI animations, minimaps with rendertexture camera's and layers etc, advanced text mesh pro features...</t>
  </si>
  <si>
    <t xml:space="preserve">9. VFX &amp; SFX</t>
  </si>
  <si>
    <t xml:space="preserve">• The project uses particle effects added at Editor time AND activated/deactivated through scripting.</t>
  </si>
  <si>
    <t xml:space="preserve">• The project changes parameters of the particlesystem component for player feedback through scripting or animations.</t>
  </si>
  <si>
    <t xml:space="preserve">• Basic 2d audio has been used for the general ambiance</t>
  </si>
  <si>
    <t xml:space="preserve">• 3D audio has been used for multiple game assets such as fire for particles, water sounds near water, pickup sounds for pickups.</t>
  </si>
  <si>
    <r>
      <t xml:space="preserve">• The project uses professional looking custom particle effects </t>
    </r>
    <r>
      <rPr>
        <i/>
        <sz val="11"/>
        <color theme="1"/>
        <rFont val="Calibri"/>
        <scheme val="minor"/>
      </rPr>
      <t>developed</t>
    </r>
    <r>
      <rPr>
        <sz val="11"/>
        <color theme="1"/>
        <rFont val="Calibri"/>
        <scheme val="minor"/>
      </rPr>
      <t xml:space="preserve"> by the student from scratch using advanced features, for example noise, sub-emitters and/or trails. </t>
    </r>
  </si>
  <si>
    <t xml:space="preserve">• The project manages audio feedback correctly where it applies to avoid jarring glitches, clipping, cacaphonies of sound, etc. (Think preventing tons of bouncing prefabs all making a "boing" sound at the same time)</t>
  </si>
  <si>
    <t xml:space="preserve">• The project consistently uses audio assets for feedback in all major features.</t>
  </si>
  <si>
    <t xml:space="preserve">• Project uses an AudioMixer with channels for at least Music &amp; SFX controlled through a settings UI or other more advanced features, such as reverb zones &amp; filters (where they make sense).</t>
  </si>
  <si>
    <t xml:space="preserve">10. Lighting</t>
  </si>
  <si>
    <t xml:space="preserve">• A Basic Directional Light with shadows is present in the Scene to adequately light the Scene
(e.g. the light matches the skybox, the scene is playable and not too dark).</t>
  </si>
  <si>
    <t xml:space="preserve">• The game employs a simple lighting setup that goes beyond a single directional light
(e.g. correctly setup key, fill light, adjusted shadow type, strength and colors, adjusted ambient colors).</t>
  </si>
  <si>
    <t xml:space="preserve">• A skybox, fog &amp; postprocessing are all present to improve the visuals of the Scene.</t>
  </si>
  <si>
    <t xml:space="preserve">• An additional light type has been used in sensible ways were applicable (e.g. point lights for bulbs).</t>
  </si>
  <si>
    <t xml:space="preserve">• The project use multiple post-processing volumes for a varied array of effects or employs lens flares.</t>
  </si>
  <si>
    <t xml:space="preserve">• Lighting has been optimized without losing visual quality 
(e.g. light baking, light layers, cookies instead of realtime shadows, ...)</t>
  </si>
  <si>
    <t xml:space="preserve">HAND IN COMPLETE (SEE TAB 1)?</t>
  </si>
  <si>
    <t>NO</t>
  </si>
  <si>
    <t xml:space="preserve">TOTAL GRADE (ONLY VALID IF GREEN):</t>
  </si>
  <si>
    <t>=</t>
  </si>
  <si>
    <t xml:space="preserve">Items still insufficient:</t>
  </si>
  <si>
    <r>
      <t xml:space="preserve">Sufficient, but not good yet, since half of the excellent criteria rounded up is </t>
    </r>
    <r>
      <rPr>
        <b/>
        <sz val="11"/>
        <color theme="1"/>
        <rFont val="Calibri"/>
        <scheme val="minor"/>
      </rPr>
      <t>3.</t>
    </r>
  </si>
  <si>
    <t xml:space="preserve">Only the sufficient criteria are met</t>
  </si>
  <si>
    <t>E</t>
  </si>
  <si>
    <r>
      <t xml:space="preserve">All criteria met, </t>
    </r>
    <r>
      <rPr>
        <i/>
        <sz val="11"/>
        <color theme="1"/>
        <rFont val="Calibri"/>
        <scheme val="minor"/>
      </rPr>
      <t>Excellent</t>
    </r>
    <r>
      <rPr>
        <sz val="11"/>
        <color theme="1"/>
        <rFont val="Calibri"/>
        <scheme val="minor"/>
      </rPr>
      <t>!</t>
    </r>
  </si>
  <si>
    <t>G</t>
  </si>
  <si>
    <r>
      <t xml:space="preserve">At least 2 excellent criteria (half rounded up) have been met </t>
    </r>
    <r>
      <rPr>
        <b/>
        <sz val="11"/>
        <color theme="1"/>
        <rFont val="Calibri"/>
        <scheme val="minor"/>
      </rPr>
      <t>plus</t>
    </r>
    <r>
      <rPr>
        <sz val="11"/>
        <color theme="1"/>
        <rFont val="Calibri"/>
        <scheme val="minor"/>
      </rPr>
      <t xml:space="preserve"> all sufficient criteria, so this is </t>
    </r>
    <r>
      <rPr>
        <i/>
        <sz val="11"/>
        <color theme="1"/>
        <rFont val="Calibri"/>
        <scheme val="minor"/>
      </rPr>
      <t>Good</t>
    </r>
  </si>
  <si>
    <r>
      <t xml:space="preserve">An excellent criterium has been met, but not the sufficient nor the good, so this still counts as </t>
    </r>
    <r>
      <rPr>
        <i/>
        <sz val="11"/>
        <color theme="1"/>
        <rFont val="Calibri"/>
        <scheme val="minor"/>
      </rPr>
      <t>Insufficient</t>
    </r>
  </si>
  <si>
    <t xml:space="preserve">All sufficient criteria have been met, but less than half of the excellent (rounded up), so this is still not more than Sufficient</t>
  </si>
  <si>
    <r>
      <t xml:space="preserve">ALL Excellent criteria have been met, but not all of the Sufficient, so this is still </t>
    </r>
    <r>
      <rPr>
        <i/>
        <sz val="11"/>
        <color theme="1"/>
        <rFont val="Calibri"/>
        <scheme val="minor"/>
      </rPr>
      <t>Insufficient</t>
    </r>
  </si>
  <si>
    <t>Excellent</t>
  </si>
  <si>
    <t xml:space="preserve">Half of 4 rounded up is 2, so good!</t>
  </si>
  <si>
    <r>
      <t xml:space="preserve">• The project uses professional looking custom particle effects </t>
    </r>
    <r>
      <rPr>
        <i/>
        <sz val="11"/>
        <color theme="1"/>
        <rFont val="Calibri"/>
        <scheme val="minor"/>
      </rPr>
      <t>developed</t>
    </r>
    <r>
      <rPr>
        <sz val="11"/>
        <color theme="1"/>
        <rFont val="Calibri"/>
        <scheme val="minor"/>
      </rPr>
      <t xml:space="preserve"> by the student from scratch displaying more complex/advanced feature, such as noise, sub-emitters, and/or trails, matching the experience.</t>
    </r>
  </si>
  <si>
    <t xml:space="preserve">• Project uses an AudioMixer with channels for at least Music &amp; SFX controlled through a settings UI or other more advanced feature, such as reverb zones, filters (where they make sense).</t>
  </si>
  <si>
    <t xml:space="preserve">Excellent ! :)</t>
  </si>
  <si>
    <t>YES</t>
  </si>
  <si>
    <t xml:space="preserve">YES or NO!</t>
  </si>
  <si>
    <t xml:space="preserve">Final verdict: even though the grade is a 6, all criteria need to be at least sufficient, which they are not, so the grade doesn't count. Of course, you won't make that error, right? RIGHT!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</si>
</sst>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scheme val="minor"/>
    </font>
    <font>
      <b/>
      <sz val="11.000000"/>
      <color theme="1"/>
      <name val="Calibri"/>
      <scheme val="minor"/>
    </font>
    <font>
      <b/>
      <sz val="24.000000"/>
      <color theme="1"/>
      <name val="Calibri"/>
      <scheme val="minor"/>
    </font>
    <font>
      <b/>
      <sz val="14.000000"/>
      <color theme="1"/>
      <name val="Calibri"/>
      <scheme val="minor"/>
    </font>
    <font>
      <b/>
      <sz val="12.000000"/>
      <color theme="1"/>
      <name val="Calibri"/>
      <scheme val="minor"/>
    </font>
    <font>
      <b/>
      <sz val="16.000000"/>
      <color theme="1"/>
      <name val="Calibri"/>
      <scheme val="minor"/>
    </font>
  </fonts>
  <fills count="13">
    <fill>
      <patternFill patternType="none"/>
    </fill>
    <fill>
      <patternFill patternType="gray125"/>
    </fill>
    <fill>
      <patternFill patternType="solid">
        <fgColor theme="0" tint="-0.049989318521683403"/>
      </patternFill>
    </fill>
    <fill>
      <patternFill patternType="solid">
        <fgColor theme="9" tint="0.39997558519241921"/>
      </patternFill>
    </fill>
    <fill>
      <patternFill patternType="solid">
        <fgColor theme="8" tint="0.59999389629810485"/>
      </patternFill>
    </fill>
    <fill>
      <patternFill patternType="solid">
        <fgColor theme="4" tint="0.79998168889431442"/>
      </patternFill>
    </fill>
    <fill>
      <patternFill patternType="solid">
        <fgColor theme="0" tint="-0.14999847407452621"/>
      </patternFill>
    </fill>
    <fill>
      <patternFill patternType="solid">
        <fgColor theme="5" tint="0.59999389629810485"/>
      </patternFill>
    </fill>
    <fill>
      <patternFill patternType="solid">
        <fgColor theme="9" tint="0.79998168889431442"/>
      </patternFill>
    </fill>
    <fill>
      <patternFill patternType="solid">
        <fgColor theme="7" tint="0.59999389629810485"/>
      </patternFill>
    </fill>
    <fill>
      <patternFill patternType="solid">
        <fgColor theme="8" tint="0.79998168889431442"/>
      </patternFill>
    </fill>
    <fill>
      <patternFill patternType="solid">
        <fgColor indexed="5"/>
      </patternFill>
    </fill>
    <fill>
      <patternFill patternType="solid">
        <fgColor rgb="FF92D050"/>
      </patternFill>
    </fill>
  </fills>
  <borders count="50">
    <border>
      <left style="none"/>
      <right style="none"/>
      <top style="none"/>
      <bottom style="none"/>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none"/>
      <diagonal style="none"/>
    </border>
    <border>
      <left style="thin">
        <color auto="1"/>
      </left>
      <right style="medium">
        <color auto="1"/>
      </right>
      <top style="medium">
        <color auto="1"/>
      </top>
      <bottom style="none"/>
      <diagonal style="none"/>
    </border>
    <border>
      <left style="medium">
        <color auto="1"/>
      </left>
      <right style="thin">
        <color auto="1"/>
      </right>
      <top style="thin">
        <color auto="1"/>
      </top>
      <bottom style="medium">
        <color auto="1"/>
      </bottom>
      <diagonal style="none"/>
    </border>
    <border>
      <left style="thin">
        <color auto="1"/>
      </left>
      <right style="thin">
        <color auto="1"/>
      </right>
      <top style="none"/>
      <bottom style="medium">
        <color auto="1"/>
      </bottom>
      <diagonal style="none"/>
    </border>
    <border>
      <left style="thin">
        <color auto="1"/>
      </left>
      <right style="medium">
        <color auto="1"/>
      </right>
      <top style="none"/>
      <bottom style="medium">
        <color auto="1"/>
      </bottom>
      <diagonal style="none"/>
    </border>
    <border>
      <left style="medium">
        <color auto="1"/>
      </left>
      <right style="none"/>
      <top style="none"/>
      <bottom style="none"/>
      <diagonal style="none"/>
    </border>
    <border>
      <left style="none"/>
      <right style="medium">
        <color auto="1"/>
      </right>
      <top style="none"/>
      <bottom style="none"/>
      <diagonal style="none"/>
    </border>
    <border>
      <left style="thin">
        <color auto="1"/>
      </left>
      <right style="thin">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none"/>
      <right style="medium">
        <color auto="1"/>
      </right>
      <top style="medium">
        <color auto="1"/>
      </top>
      <bottom style="none"/>
      <diagonal style="none"/>
    </border>
    <border>
      <left style="medium">
        <color auto="1"/>
      </left>
      <right style="thin">
        <color auto="1"/>
      </right>
      <top style="none"/>
      <bottom style="none"/>
      <diagonal style="none"/>
    </border>
    <border>
      <left style="thin">
        <color auto="1"/>
      </left>
      <right style="thin">
        <color auto="1"/>
      </right>
      <top style="none"/>
      <bottom style="none"/>
      <diagonal style="none"/>
    </border>
    <border>
      <left style="thin">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thin">
        <color auto="1"/>
      </right>
      <top style="none"/>
      <bottom style="medium">
        <color auto="1"/>
      </bottom>
      <diagonal style="none"/>
    </border>
    <border>
      <left style="none"/>
      <right style="medium">
        <color auto="1"/>
      </right>
      <top style="none"/>
      <bottom style="medium">
        <color auto="1"/>
      </bottom>
      <diagonal style="none"/>
    </border>
    <border>
      <left style="thin">
        <color auto="1"/>
      </left>
      <right style="none"/>
      <top style="medium">
        <color auto="1"/>
      </top>
      <bottom style="thin">
        <color auto="1"/>
      </bottom>
      <diagonal style="none"/>
    </border>
    <border>
      <left style="medium">
        <color auto="1"/>
      </left>
      <right style="medium">
        <color auto="1"/>
      </right>
      <top style="medium">
        <color auto="1"/>
      </top>
      <bottom style="none"/>
      <diagonal style="none"/>
    </border>
    <border>
      <left style="medium">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medium">
        <color auto="1"/>
      </left>
      <right style="medium">
        <color auto="1"/>
      </right>
      <top style="none"/>
      <bottom style="none"/>
      <diagonal style="none"/>
    </border>
    <border>
      <left style="thin">
        <color auto="1"/>
      </left>
      <right style="thin">
        <color auto="1"/>
      </right>
      <top style="thin">
        <color auto="1"/>
      </top>
      <bottom style="medium">
        <color auto="1"/>
      </bottom>
      <diagonal style="none"/>
    </border>
    <border>
      <left style="thin">
        <color auto="1"/>
      </left>
      <right style="none"/>
      <top style="thin">
        <color auto="1"/>
      </top>
      <bottom style="medium">
        <color auto="1"/>
      </bottom>
      <diagonal style="none"/>
    </border>
    <border>
      <left style="medium">
        <color auto="1"/>
      </left>
      <right style="medium">
        <color auto="1"/>
      </right>
      <top style="none"/>
      <bottom style="medium">
        <color auto="1"/>
      </bottom>
      <diagonal style="none"/>
    </border>
    <border>
      <left style="thin">
        <color auto="1"/>
      </left>
      <right style="medium">
        <color auto="1"/>
      </right>
      <top style="none"/>
      <bottom style="none"/>
      <diagonal style="none"/>
    </border>
    <border>
      <left style="medium">
        <color auto="1"/>
      </left>
      <right style="thin">
        <color auto="1"/>
      </right>
      <top style="thin">
        <color auto="1"/>
      </top>
      <bottom style="none"/>
      <diagonal style="none"/>
    </border>
    <border>
      <left style="thin">
        <color auto="1"/>
      </left>
      <right style="thin">
        <color auto="1"/>
      </right>
      <top style="thin">
        <color auto="1"/>
      </top>
      <bottom style="none"/>
      <diagonal style="none"/>
    </border>
    <border>
      <left style="thin">
        <color auto="1"/>
      </left>
      <right style="medium">
        <color auto="1"/>
      </right>
      <top style="thin">
        <color auto="1"/>
      </top>
      <bottom style="none"/>
      <diagonal style="none"/>
    </border>
    <border>
      <left style="medium">
        <color auto="1"/>
      </left>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thin">
        <color auto="1"/>
      </left>
      <right style="none"/>
      <top style="thin">
        <color auto="1"/>
      </top>
      <bottom style="none"/>
      <diagonal style="none"/>
    </border>
    <border>
      <left style="thin">
        <color auto="1"/>
      </left>
      <right style="medium">
        <color auto="1"/>
      </right>
      <top style="thin">
        <color auto="1"/>
      </top>
      <bottom style="medium">
        <color auto="1"/>
      </bottom>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thin">
        <color auto="1"/>
      </right>
      <top style="medium">
        <color auto="1"/>
      </top>
      <bottom style="thin">
        <color auto="1"/>
      </bottom>
      <diagonal style="none"/>
    </border>
    <border>
      <left style="none"/>
      <right style="thin">
        <color auto="1"/>
      </right>
      <top style="thin">
        <color auto="1"/>
      </top>
      <bottom style="thin">
        <color auto="1"/>
      </bottom>
      <diagonal style="none"/>
    </border>
    <border>
      <left style="none"/>
      <right style="thin">
        <color auto="1"/>
      </right>
      <top style="thin">
        <color auto="1"/>
      </top>
      <bottom style="none"/>
      <diagonal style="none"/>
    </border>
    <border>
      <left style="none"/>
      <right style="thin">
        <color auto="1"/>
      </right>
      <top style="thin">
        <color auto="1"/>
      </top>
      <bottom style="medium">
        <color auto="1"/>
      </bottom>
      <diagonal style="none"/>
    </border>
    <border>
      <left style="medium">
        <color auto="1"/>
      </left>
      <right style="none"/>
      <top style="none"/>
      <bottom style="medium">
        <color auto="1"/>
      </bottom>
      <diagonal style="none"/>
    </border>
    <border>
      <left style="none"/>
      <right style="none"/>
      <top style="thin">
        <color auto="1"/>
      </top>
      <bottom style="none"/>
      <diagonal style="none"/>
    </border>
    <border>
      <left style="thin">
        <color auto="1"/>
      </left>
      <right style="none"/>
      <top style="none"/>
      <bottom style="none"/>
      <diagonal style="none"/>
    </border>
    <border>
      <left style="none"/>
      <right style="thin">
        <color auto="1"/>
      </right>
      <top style="none"/>
      <bottom style="none"/>
      <diagonal style="none"/>
    </border>
    <border>
      <left style="none"/>
      <right style="none"/>
      <top style="none"/>
      <bottom style="thin">
        <color auto="1"/>
      </bottom>
      <diagonal style="none"/>
    </border>
    <border>
      <left style="none"/>
      <right style="thin">
        <color auto="1"/>
      </right>
      <top style="none"/>
      <bottom style="thin">
        <color auto="1"/>
      </bottom>
      <diagonal style="none"/>
    </border>
  </borders>
  <cellStyleXfs count="1">
    <xf fontId="0" fillId="0" borderId="0" numFmtId="0" applyNumberFormat="1" applyFont="1" applyFill="1" applyBorder="1"/>
  </cellStyleXfs>
  <cellXfs count="170">
    <xf fontId="0" fillId="0" borderId="0" numFmtId="0" xfId="0"/>
    <xf fontId="0" fillId="0" borderId="0" numFmtId="0" xfId="0" applyAlignment="1">
      <alignment vertical="top"/>
    </xf>
    <xf fontId="1" fillId="0" borderId="0" numFmtId="0" xfId="0" applyFont="1" applyAlignment="1">
      <alignment vertical="top"/>
    </xf>
    <xf fontId="0" fillId="2" borderId="0" numFmtId="0" xfId="0" applyFill="1" applyAlignment="1">
      <alignment horizontal="left" vertical="top" wrapText="1"/>
    </xf>
    <xf fontId="0" fillId="0" borderId="0" numFmtId="0" xfId="0" applyProtection="1">
      <protection locked="0"/>
    </xf>
    <xf fontId="0" fillId="0" borderId="0" numFmtId="0" xfId="0" applyAlignment="1">
      <alignment horizontal="left" vertical="top"/>
    </xf>
    <xf fontId="0" fillId="0" borderId="0" numFmtId="0" xfId="0" applyAlignment="1">
      <alignment horizontal="left" indent="1" vertical="center"/>
    </xf>
    <xf fontId="0" fillId="0" borderId="0" numFmtId="0" xfId="0" applyAlignment="1">
      <alignment horizontal="left" vertical="top" wrapText="1"/>
    </xf>
    <xf fontId="0" fillId="0" borderId="0" numFmtId="0" xfId="0" applyAlignment="1">
      <alignment horizontal="center" vertical="center"/>
    </xf>
    <xf fontId="2" fillId="3" borderId="1" numFmtId="0" xfId="0" applyFont="1" applyFill="1" applyBorder="1" applyAlignment="1">
      <alignment horizontal="center" vertical="center"/>
    </xf>
    <xf fontId="2" fillId="3" borderId="2" numFmtId="0" xfId="0" applyFont="1" applyFill="1" applyBorder="1" applyAlignment="1">
      <alignment horizontal="center" vertical="center"/>
    </xf>
    <xf fontId="2" fillId="3" borderId="3" numFmtId="0" xfId="0" applyFont="1" applyFill="1" applyBorder="1" applyAlignment="1">
      <alignment horizontal="center" vertical="center"/>
    </xf>
    <xf fontId="3" fillId="3" borderId="4" numFmtId="0" xfId="0" applyFont="1" applyFill="1" applyBorder="1" applyAlignment="1">
      <alignment horizontal="left" indent="1" vertical="center" wrapText="1"/>
    </xf>
    <xf fontId="1" fillId="4" borderId="5" numFmtId="0" xfId="0" applyFont="1" applyFill="1" applyBorder="1" applyAlignment="1">
      <alignment horizontal="left" wrapText="1"/>
    </xf>
    <xf fontId="1" fillId="4" borderId="5" numFmtId="0" xfId="0" applyFont="1" applyFill="1" applyBorder="1" applyAlignment="1">
      <alignment horizontal="left" vertical="top" wrapText="1"/>
    </xf>
    <xf fontId="1" fillId="4" borderId="6" numFmtId="0" xfId="0" applyFont="1" applyFill="1" applyBorder="1" applyAlignment="1">
      <alignment horizontal="left" vertical="top" wrapText="1"/>
    </xf>
    <xf fontId="3" fillId="3" borderId="7" numFmtId="0" xfId="0" applyFont="1" applyFill="1" applyBorder="1" applyAlignment="1">
      <alignment horizontal="left" indent="1" vertical="center" wrapText="1"/>
    </xf>
    <xf fontId="1" fillId="5" borderId="8" numFmtId="0" xfId="0" applyFont="1" applyFill="1" applyBorder="1" applyAlignment="1">
      <alignment horizontal="left" wrapText="1"/>
    </xf>
    <xf fontId="1" fillId="5" borderId="8" numFmtId="0" xfId="0" applyFont="1" applyFill="1" applyBorder="1" applyAlignment="1">
      <alignment horizontal="left" vertical="top" wrapText="1"/>
    </xf>
    <xf fontId="1" fillId="5" borderId="9" numFmtId="0" xfId="0" applyFont="1" applyFill="1" applyBorder="1" applyAlignment="1">
      <alignment horizontal="left" vertical="top" wrapText="1"/>
    </xf>
    <xf fontId="1" fillId="6" borderId="10" numFmtId="0" xfId="0" applyFont="1" applyFill="1" applyBorder="1" applyAlignment="1">
      <alignment horizontal="left" indent="1" vertical="center" wrapText="1"/>
    </xf>
    <xf fontId="1" fillId="6" borderId="0" numFmtId="0" xfId="0" applyFont="1" applyFill="1" applyAlignment="1">
      <alignment horizontal="center" vertical="center" wrapText="1"/>
    </xf>
    <xf fontId="1" fillId="6" borderId="11" numFmtId="0" xfId="0" applyFont="1" applyFill="1" applyBorder="1" applyAlignment="1">
      <alignment horizontal="center" vertical="center" wrapText="1"/>
    </xf>
    <xf fontId="4" fillId="7" borderId="4" numFmtId="0" xfId="0" applyFont="1" applyFill="1" applyBorder="1" applyAlignment="1">
      <alignment horizontal="left" indent="1" vertical="center" wrapText="1"/>
    </xf>
    <xf fontId="0" fillId="2" borderId="12" numFmtId="0" xfId="0" applyFill="1" applyBorder="1" applyAlignment="1" applyProtection="1">
      <alignment horizontal="center" vertical="center" wrapText="1"/>
      <protection locked="0"/>
    </xf>
    <xf fontId="0" fillId="0" borderId="5" numFmtId="0" xfId="0" applyBorder="1" applyAlignment="1" applyProtection="1">
      <alignment vertical="top" wrapText="1"/>
      <protection locked="0"/>
    </xf>
    <xf fontId="0" fillId="0" borderId="12" numFmtId="0" xfId="0" applyBorder="1" applyAlignment="1" applyProtection="1">
      <alignment horizontal="center" vertical="center" wrapText="1"/>
      <protection locked="0"/>
    </xf>
    <xf fontId="0" fillId="0" borderId="13" numFmtId="0" xfId="0" applyBorder="1" applyAlignment="1" applyProtection="1">
      <alignment horizontal="left" vertical="top" wrapText="1"/>
      <protection locked="0"/>
    </xf>
    <xf fontId="5" fillId="8" borderId="14" numFmtId="0" xfId="0" applyFont="1" applyFill="1" applyBorder="1" applyAlignment="1" applyProtection="1">
      <alignment horizontal="center" vertical="center"/>
      <protection locked="0"/>
    </xf>
    <xf fontId="4" fillId="7" borderId="15" numFmtId="0" xfId="0" applyFont="1" applyFill="1" applyBorder="1" applyAlignment="1">
      <alignment horizontal="left" indent="1" vertical="center" wrapText="1"/>
    </xf>
    <xf fontId="0" fillId="2" borderId="16" numFmtId="0" xfId="0" applyFill="1" applyBorder="1" applyAlignment="1" applyProtection="1">
      <alignment horizontal="center" vertical="center" wrapText="1"/>
      <protection locked="0"/>
    </xf>
    <xf fontId="0" fillId="0" borderId="17" numFmtId="0" xfId="0" applyBorder="1" applyAlignment="1" applyProtection="1">
      <alignment vertical="top" wrapText="1"/>
      <protection locked="0"/>
    </xf>
    <xf fontId="0" fillId="0" borderId="16" numFmtId="0" xfId="0" applyBorder="1" applyAlignment="1" applyProtection="1">
      <alignment horizontal="center" vertical="center" wrapText="1"/>
      <protection locked="0"/>
    </xf>
    <xf fontId="0" fillId="0" borderId="18" numFmtId="0" xfId="0" applyBorder="1" applyAlignment="1" applyProtection="1">
      <alignment horizontal="left" vertical="top" wrapText="1"/>
      <protection locked="0"/>
    </xf>
    <xf fontId="5" fillId="8" borderId="11" numFmtId="0" xfId="0" applyFont="1" applyFill="1" applyBorder="1" applyAlignment="1" applyProtection="1">
      <alignment horizontal="center" vertical="center"/>
      <protection locked="0"/>
    </xf>
    <xf fontId="0" fillId="0" borderId="16" numFmtId="0" xfId="0" applyBorder="1" applyAlignment="1" applyProtection="1">
      <alignment horizontal="center" vertical="top" wrapText="1"/>
      <protection locked="0"/>
    </xf>
    <xf fontId="4" fillId="7" borderId="19" numFmtId="0" xfId="0" applyFont="1" applyFill="1" applyBorder="1" applyAlignment="1">
      <alignment horizontal="left" indent="1" vertical="center" wrapText="1"/>
    </xf>
    <xf fontId="0" fillId="2" borderId="8" numFmtId="0" xfId="0" applyFill="1" applyBorder="1" applyAlignment="1" applyProtection="1">
      <alignment horizontal="center" vertical="center" wrapText="1"/>
      <protection locked="0"/>
    </xf>
    <xf fontId="0" fillId="0" borderId="8" numFmtId="0" xfId="0" applyBorder="1" applyAlignment="1" applyProtection="1">
      <alignment horizontal="center" vertical="top" wrapText="1"/>
      <protection locked="0"/>
    </xf>
    <xf fontId="0" fillId="0" borderId="8" numFmtId="0" xfId="0" applyBorder="1" applyAlignment="1" applyProtection="1">
      <alignment horizontal="center" vertical="center" wrapText="1"/>
      <protection locked="0"/>
    </xf>
    <xf fontId="0" fillId="0" borderId="9" numFmtId="0" xfId="0" applyBorder="1" applyAlignment="1" applyProtection="1">
      <alignment vertical="top" wrapText="1"/>
      <protection locked="0"/>
    </xf>
    <xf fontId="5" fillId="8" borderId="20" numFmtId="0" xfId="0" applyFont="1" applyFill="1" applyBorder="1" applyAlignment="1" applyProtection="1">
      <alignment horizontal="center" vertical="center"/>
      <protection locked="0"/>
    </xf>
    <xf fontId="0" fillId="0" borderId="12" numFmtId="0" xfId="0" applyBorder="1" applyAlignment="1" applyProtection="1">
      <alignment horizontal="left" vertical="top" wrapText="1"/>
      <protection locked="0"/>
    </xf>
    <xf fontId="0" fillId="0" borderId="21" numFmtId="0" xfId="0" applyBorder="1" applyAlignment="1" applyProtection="1">
      <alignment horizontal="left" vertical="top" wrapText="1"/>
      <protection locked="0"/>
    </xf>
    <xf fontId="5" fillId="8" borderId="22" numFmtId="0" xfId="0" applyFont="1" applyFill="1" applyBorder="1" applyAlignment="1" applyProtection="1">
      <alignment horizontal="center" vertical="center"/>
      <protection locked="0"/>
    </xf>
    <xf fontId="4" fillId="7" borderId="23" numFmtId="0" xfId="0" applyFont="1" applyFill="1" applyBorder="1" applyAlignment="1">
      <alignment horizontal="left" indent="1" vertical="center" wrapText="1"/>
    </xf>
    <xf fontId="0" fillId="2" borderId="17" numFmtId="0" xfId="0" applyFill="1" applyBorder="1" applyAlignment="1" applyProtection="1">
      <alignment horizontal="center" vertical="center" wrapText="1"/>
      <protection locked="0"/>
    </xf>
    <xf fontId="0" fillId="0" borderId="17" numFmtId="0" xfId="0" applyBorder="1" applyAlignment="1" applyProtection="1">
      <alignment horizontal="left" vertical="top" wrapText="1"/>
      <protection locked="0"/>
    </xf>
    <xf fontId="0" fillId="0" borderId="17" numFmtId="0" xfId="0" applyBorder="1" applyAlignment="1" applyProtection="1">
      <alignment horizontal="center" vertical="center" wrapText="1"/>
      <protection locked="0"/>
    </xf>
    <xf fontId="0" fillId="0" borderId="24" numFmtId="0" xfId="0" applyBorder="1" applyAlignment="1" applyProtection="1">
      <alignment horizontal="left" vertical="top" wrapText="1"/>
      <protection locked="0"/>
    </xf>
    <xf fontId="5" fillId="8" borderId="25" numFmtId="0" xfId="0" applyFont="1" applyFill="1" applyBorder="1" applyAlignment="1" applyProtection="1">
      <alignment horizontal="center" vertical="center"/>
      <protection locked="0"/>
    </xf>
    <xf fontId="4" fillId="7" borderId="7" numFmtId="0" xfId="0" applyFont="1" applyFill="1" applyBorder="1" applyAlignment="1">
      <alignment horizontal="left" indent="1" vertical="center" wrapText="1"/>
    </xf>
    <xf fontId="0" fillId="2" borderId="26" numFmtId="0" xfId="0" applyFill="1" applyBorder="1" applyAlignment="1" applyProtection="1">
      <alignment horizontal="center" vertical="center" wrapText="1"/>
      <protection locked="0"/>
    </xf>
    <xf fontId="0" fillId="0" borderId="26" numFmtId="0" xfId="0" applyBorder="1" applyAlignment="1" applyProtection="1">
      <alignment horizontal="center" vertical="center" wrapText="1"/>
      <protection locked="0"/>
    </xf>
    <xf fontId="0" fillId="0" borderId="27" numFmtId="0" xfId="0" applyBorder="1" applyAlignment="1" applyProtection="1">
      <alignment horizontal="left" vertical="top" wrapText="1"/>
      <protection locked="0"/>
    </xf>
    <xf fontId="5" fillId="8" borderId="28" numFmtId="0" xfId="0" applyFont="1" applyFill="1" applyBorder="1" applyAlignment="1" applyProtection="1">
      <alignment horizontal="center" vertical="center"/>
      <protection locked="0"/>
    </xf>
    <xf fontId="1" fillId="6" borderId="1" numFmtId="0" xfId="0" applyFont="1" applyFill="1" applyBorder="1" applyAlignment="1">
      <alignment horizontal="left" indent="1" vertical="center" wrapText="1"/>
    </xf>
    <xf fontId="1" fillId="6" borderId="2" numFmtId="0" xfId="0" applyFont="1" applyFill="1" applyBorder="1" applyAlignment="1">
      <alignment horizontal="center" vertical="center" wrapText="1"/>
    </xf>
    <xf fontId="1" fillId="6" borderId="3" numFmtId="0" xfId="0" applyFont="1" applyFill="1" applyBorder="1" applyAlignment="1">
      <alignment horizontal="center" vertical="center" wrapText="1"/>
    </xf>
    <xf fontId="1" fillId="0" borderId="12" numFmtId="0" xfId="0" applyFont="1" applyBorder="1" applyAlignment="1" applyProtection="1" quotePrefix="1">
      <alignment horizontal="center" vertical="center" wrapText="1"/>
      <protection locked="0"/>
    </xf>
    <xf fontId="0" fillId="0" borderId="6" numFmtId="0" xfId="0" applyBorder="1" applyAlignment="1" applyProtection="1">
      <alignment horizontal="left" vertical="top" wrapText="1"/>
      <protection locked="0"/>
    </xf>
    <xf fontId="1" fillId="0" borderId="17" numFmtId="0" xfId="0" applyFont="1" applyBorder="1" applyAlignment="1" applyProtection="1" quotePrefix="1">
      <alignment horizontal="center" vertical="center" wrapText="1"/>
      <protection locked="0"/>
    </xf>
    <xf fontId="0" fillId="0" borderId="29" numFmtId="0" xfId="0" applyBorder="1" applyAlignment="1" applyProtection="1">
      <alignment horizontal="left" vertical="top" wrapText="1"/>
      <protection locked="0"/>
    </xf>
    <xf fontId="4" fillId="7" borderId="30" numFmtId="0" xfId="0" applyFont="1" applyFill="1" applyBorder="1" applyAlignment="1">
      <alignment horizontal="left" indent="1" vertical="center" wrapText="1"/>
    </xf>
    <xf fontId="0" fillId="2" borderId="31" numFmtId="0" xfId="0" applyFill="1" applyBorder="1" applyAlignment="1" applyProtection="1">
      <alignment horizontal="center" vertical="center" wrapText="1"/>
      <protection locked="0"/>
    </xf>
    <xf fontId="0" fillId="0" borderId="31" numFmtId="0" xfId="0" applyBorder="1" applyAlignment="1" applyProtection="1">
      <alignment horizontal="left" vertical="top" wrapText="1"/>
      <protection locked="0"/>
    </xf>
    <xf fontId="1" fillId="0" borderId="31" numFmtId="0" xfId="0" applyFont="1" applyBorder="1" applyAlignment="1" applyProtection="1" quotePrefix="1">
      <alignment horizontal="center" vertical="center" wrapText="1"/>
      <protection locked="0"/>
    </xf>
    <xf fontId="0" fillId="0" borderId="32" numFmtId="0" xfId="0" applyBorder="1" applyAlignment="1" applyProtection="1">
      <alignment horizontal="center" vertical="top" wrapText="1"/>
      <protection locked="0"/>
    </xf>
    <xf fontId="0" fillId="0" borderId="26" numFmtId="0" xfId="0" applyBorder="1" applyAlignment="1" applyProtection="1">
      <alignment horizontal="left" vertical="top" wrapText="1"/>
      <protection locked="0"/>
    </xf>
    <xf fontId="1" fillId="0" borderId="26" numFmtId="0" xfId="0" applyFont="1" applyBorder="1" applyAlignment="1" applyProtection="1">
      <alignment horizontal="center" vertical="center" wrapText="1"/>
      <protection locked="0"/>
    </xf>
    <xf fontId="0" fillId="0" borderId="9" numFmtId="0" xfId="0" applyBorder="1" applyAlignment="1" applyProtection="1">
      <alignment horizontal="center" vertical="top" wrapText="1"/>
      <protection locked="0"/>
    </xf>
    <xf fontId="4" fillId="7" borderId="33" numFmtId="0" xfId="0" applyFont="1" applyFill="1" applyBorder="1" applyAlignment="1">
      <alignment horizontal="left" indent="1" vertical="center" wrapText="1"/>
    </xf>
    <xf fontId="0" fillId="2" borderId="34" numFmtId="0" xfId="0" applyFill="1" applyBorder="1" applyAlignment="1" applyProtection="1">
      <alignment horizontal="center" vertical="center" wrapText="1"/>
      <protection locked="0"/>
    </xf>
    <xf fontId="0" fillId="0" borderId="34" numFmtId="0" xfId="0" applyBorder="1" applyAlignment="1" applyProtection="1">
      <alignment horizontal="left" vertical="top" wrapText="1"/>
      <protection locked="0"/>
    </xf>
    <xf fontId="0" fillId="0" borderId="34" numFmtId="0" xfId="0" applyBorder="1" applyAlignment="1" applyProtection="1">
      <alignment horizontal="center" vertical="center" wrapText="1"/>
      <protection locked="0"/>
    </xf>
    <xf fontId="0" fillId="0" borderId="35" numFmtId="0" xfId="0" applyBorder="1" applyAlignment="1" applyProtection="1">
      <alignment horizontal="left" vertical="top" wrapText="1"/>
      <protection locked="0"/>
    </xf>
    <xf fontId="0" fillId="0" borderId="17" numFmtId="0" xfId="0" applyBorder="1" applyAlignment="1" applyProtection="1">
      <alignment horizontal="left" indent="1" vertical="top" wrapText="1"/>
      <protection locked="0"/>
    </xf>
    <xf fontId="0" fillId="0" borderId="24" numFmtId="0" xfId="0" applyBorder="1" applyAlignment="1" applyProtection="1">
      <alignment vertical="top" wrapText="1"/>
      <protection locked="0"/>
    </xf>
    <xf fontId="0" fillId="0" borderId="31" numFmtId="0" xfId="0" applyBorder="1" applyAlignment="1" applyProtection="1">
      <alignment horizontal="left" indent="1" vertical="top" wrapText="1"/>
      <protection locked="0"/>
    </xf>
    <xf fontId="0" fillId="0" borderId="31" numFmtId="0" xfId="0" applyBorder="1" applyAlignment="1" applyProtection="1">
      <alignment horizontal="center" vertical="center" wrapText="1"/>
      <protection locked="0"/>
    </xf>
    <xf fontId="0" fillId="0" borderId="36" numFmtId="0" xfId="0" applyBorder="1" applyAlignment="1" applyProtection="1">
      <alignment horizontal="left" vertical="top" wrapText="1"/>
      <protection locked="0"/>
    </xf>
    <xf fontId="0" fillId="0" borderId="31" numFmtId="0" xfId="0" applyBorder="1" applyAlignment="1" applyProtection="1">
      <alignment horizontal="center" vertical="top" wrapText="1"/>
      <protection locked="0"/>
    </xf>
    <xf fontId="4" fillId="9" borderId="4" numFmtId="0" xfId="0" applyFont="1" applyFill="1" applyBorder="1" applyAlignment="1">
      <alignment horizontal="left" indent="1" vertical="center" wrapText="1"/>
    </xf>
    <xf fontId="4" fillId="9" borderId="23" numFmtId="0" xfId="0" applyFont="1" applyFill="1" applyBorder="1" applyAlignment="1">
      <alignment horizontal="left" indent="1" vertical="center" wrapText="1"/>
    </xf>
    <xf fontId="0" fillId="0" borderId="18" numFmtId="0" xfId="0" applyBorder="1" applyAlignment="1" applyProtection="1">
      <alignment vertical="top" wrapText="1"/>
      <protection locked="0"/>
    </xf>
    <xf fontId="4" fillId="9" borderId="7" numFmtId="0" xfId="0" applyFont="1" applyFill="1" applyBorder="1" applyAlignment="1">
      <alignment horizontal="left" indent="1" vertical="center" wrapText="1"/>
    </xf>
    <xf fontId="0" fillId="0" borderId="9" numFmtId="0" xfId="0" applyBorder="1" applyAlignment="1" applyProtection="1">
      <alignment horizontal="left" vertical="top" wrapText="1"/>
      <protection locked="0"/>
    </xf>
    <xf fontId="0" fillId="0" borderId="5" numFmtId="0" xfId="0" applyBorder="1" applyAlignment="1" applyProtection="1">
      <alignment horizontal="left" vertical="top" wrapText="1"/>
      <protection locked="0"/>
    </xf>
    <xf fontId="0" fillId="0" borderId="8" numFmtId="0" xfId="0" applyBorder="1" applyAlignment="1" applyProtection="1">
      <alignment vertical="top" wrapText="1"/>
      <protection locked="0"/>
    </xf>
    <xf fontId="0" fillId="0" borderId="37" numFmtId="0" xfId="0" applyBorder="1" applyAlignment="1" applyProtection="1">
      <alignment horizontal="left" vertical="top" wrapText="1"/>
      <protection locked="0"/>
    </xf>
    <xf fontId="1" fillId="6" borderId="38" numFmtId="0" xfId="0" applyFont="1" applyFill="1" applyBorder="1" applyAlignment="1">
      <alignment horizontal="left" indent="1" vertical="center" wrapText="1"/>
    </xf>
    <xf fontId="1" fillId="6" borderId="39" numFmtId="0" xfId="0" applyFont="1" applyFill="1" applyBorder="1" applyAlignment="1">
      <alignment horizontal="center" vertical="center" wrapText="1"/>
    </xf>
    <xf fontId="1" fillId="6" borderId="14" numFmtId="0" xfId="0" applyFont="1" applyFill="1" applyBorder="1" applyAlignment="1">
      <alignment horizontal="center" vertical="center" wrapText="1"/>
    </xf>
    <xf fontId="0" fillId="2" borderId="21" numFmtId="0" xfId="0" applyFill="1" applyBorder="1" applyAlignment="1" applyProtection="1">
      <alignment horizontal="center" vertical="center" wrapText="1"/>
      <protection locked="0"/>
    </xf>
    <xf fontId="0" fillId="0" borderId="40" numFmtId="0" xfId="0" applyBorder="1" applyAlignment="1" applyProtection="1">
      <alignment horizontal="center" vertical="center" wrapText="1"/>
      <protection locked="0"/>
    </xf>
    <xf fontId="0" fillId="2" borderId="24" numFmtId="0" xfId="0" applyFill="1" applyBorder="1" applyAlignment="1" applyProtection="1">
      <alignment horizontal="center" vertical="center" wrapText="1"/>
      <protection locked="0"/>
    </xf>
    <xf fontId="0" fillId="0" borderId="41" numFmtId="0" xfId="0" applyBorder="1" applyAlignment="1" applyProtection="1">
      <alignment horizontal="center" vertical="center" wrapText="1"/>
      <protection locked="0"/>
    </xf>
    <xf fontId="4" fillId="9" borderId="30" numFmtId="0" xfId="0" applyFont="1" applyFill="1" applyBorder="1" applyAlignment="1">
      <alignment horizontal="left" indent="1" vertical="center" wrapText="1"/>
    </xf>
    <xf fontId="0" fillId="2" borderId="36" numFmtId="0" xfId="0" applyFill="1" applyBorder="1" applyAlignment="1" applyProtection="1">
      <alignment horizontal="center" vertical="center" wrapText="1"/>
      <protection locked="0"/>
    </xf>
    <xf fontId="0" fillId="0" borderId="42" numFmtId="0" xfId="0" applyBorder="1" applyAlignment="1" applyProtection="1">
      <alignment horizontal="center" vertical="center" wrapText="1"/>
      <protection locked="0"/>
    </xf>
    <xf fontId="0" fillId="2" borderId="27" numFmtId="0" xfId="0" applyFill="1" applyBorder="1" applyAlignment="1" applyProtection="1">
      <alignment horizontal="center" vertical="center" wrapText="1"/>
      <protection locked="0"/>
    </xf>
    <xf fontId="0" fillId="0" borderId="43" numFmtId="0" xfId="0" applyBorder="1" applyAlignment="1" applyProtection="1">
      <alignment horizontal="center" vertical="center" wrapText="1"/>
      <protection locked="0"/>
    </xf>
    <xf fontId="4" fillId="10" borderId="4" numFmtId="0" xfId="0" applyFont="1" applyFill="1" applyBorder="1" applyAlignment="1">
      <alignment horizontal="left" indent="1" vertical="center" wrapText="1"/>
    </xf>
    <xf fontId="4" fillId="10" borderId="23" numFmtId="0" xfId="0" applyFont="1" applyFill="1" applyBorder="1" applyAlignment="1">
      <alignment horizontal="left" indent="1" vertical="center" wrapText="1"/>
    </xf>
    <xf fontId="0" fillId="0" borderId="31" numFmtId="0" xfId="0" applyBorder="1" applyAlignment="1" applyProtection="1">
      <alignment vertical="top" wrapText="1"/>
      <protection locked="0"/>
    </xf>
    <xf fontId="4" fillId="10" borderId="7" numFmtId="0" xfId="0" applyFont="1" applyFill="1" applyBorder="1" applyAlignment="1">
      <alignment horizontal="left" indent="1" vertical="center" wrapText="1"/>
    </xf>
    <xf fontId="5" fillId="0" borderId="38" numFmtId="0" xfId="0" applyFont="1" applyBorder="1" applyAlignment="1">
      <alignment horizontal="center" vertical="center" wrapText="1"/>
    </xf>
    <xf fontId="5" fillId="8" borderId="22" numFmtId="49" xfId="0" applyNumberFormat="1" applyFont="1" applyFill="1" applyBorder="1" applyAlignment="1" quotePrefix="1">
      <alignment horizontal="center" vertical="center"/>
    </xf>
    <xf fontId="5" fillId="0" borderId="44" numFmtId="0" xfId="0" applyFont="1" applyBorder="1" applyAlignment="1">
      <alignment horizontal="center" vertical="center" wrapText="1"/>
    </xf>
    <xf fontId="5" fillId="8" borderId="28" numFmtId="49" xfId="0" applyNumberFormat="1" applyFont="1" applyFill="1" applyBorder="1" applyAlignment="1">
      <alignment horizontal="center" vertical="center"/>
    </xf>
    <xf fontId="5" fillId="11" borderId="22" numFmtId="0" xfId="0" applyFont="1" applyFill="1" applyBorder="1" applyAlignment="1">
      <alignment horizontal="center" vertical="center" wrapText="1"/>
    </xf>
    <xf fontId="5" fillId="0" borderId="22" numFmtId="2" xfId="0" applyNumberFormat="1" applyFont="1" applyBorder="1" applyAlignment="1" quotePrefix="1">
      <alignment horizontal="center" vertical="center"/>
    </xf>
    <xf fontId="5" fillId="0" borderId="22" numFmtId="49" xfId="0" applyNumberFormat="1" applyFont="1" applyBorder="1" applyAlignment="1" quotePrefix="1">
      <alignment horizontal="center" vertical="center"/>
    </xf>
    <xf fontId="5" fillId="0" borderId="22" numFmtId="1" xfId="0" applyNumberFormat="1" applyFont="1" applyBorder="1" applyAlignment="1" quotePrefix="1">
      <alignment horizontal="center" vertical="center"/>
    </xf>
    <xf fontId="5" fillId="11" borderId="28" numFmtId="0" xfId="0" applyFont="1" applyFill="1" applyBorder="1" applyAlignment="1">
      <alignment horizontal="center" vertical="center" wrapText="1"/>
    </xf>
    <xf fontId="5" fillId="0" borderId="28" numFmtId="2" xfId="0" applyNumberFormat="1" applyFont="1" applyBorder="1" applyAlignment="1">
      <alignment horizontal="center" vertical="center"/>
    </xf>
    <xf fontId="5" fillId="0" borderId="28" numFmtId="49" xfId="0" applyNumberFormat="1" applyFont="1" applyBorder="1" applyAlignment="1">
      <alignment horizontal="center" vertical="center"/>
    </xf>
    <xf fontId="5" fillId="0" borderId="28" numFmtId="1" xfId="0" applyNumberFormat="1" applyFont="1" applyBorder="1" applyAlignment="1">
      <alignment horizontal="center" vertical="center"/>
    </xf>
    <xf fontId="0" fillId="0" borderId="0" numFmtId="0" xfId="0" applyAlignment="1">
      <alignment horizontal="right" vertical="top" wrapText="1"/>
    </xf>
    <xf fontId="0" fillId="0" borderId="0" numFmtId="49" xfId="0" applyNumberFormat="1"/>
    <xf fontId="0" fillId="12" borderId="5" numFmtId="0" xfId="0" applyFill="1" applyBorder="1" applyAlignment="1" applyProtection="1">
      <alignment vertical="top" wrapText="1"/>
      <protection locked="0"/>
    </xf>
    <xf fontId="0" fillId="12" borderId="13" numFmtId="0" xfId="0" applyFill="1" applyBorder="1" applyAlignment="1" applyProtection="1">
      <alignment horizontal="left" vertical="top" wrapText="1"/>
      <protection locked="0"/>
    </xf>
    <xf fontId="0" fillId="11" borderId="36" numFmtId="0" xfId="0" applyFill="1" applyBorder="1" applyAlignment="1">
      <alignment horizontal="center" vertical="center" wrapText="1"/>
    </xf>
    <xf fontId="0" fillId="11" borderId="45" numFmtId="0" xfId="0" applyFill="1" applyBorder="1" applyAlignment="1">
      <alignment horizontal="center" vertical="center" wrapText="1"/>
    </xf>
    <xf fontId="0" fillId="11" borderId="42" numFmtId="0" xfId="0" applyFill="1" applyBorder="1" applyAlignment="1">
      <alignment horizontal="center" vertical="center" wrapText="1"/>
    </xf>
    <xf fontId="0" fillId="12" borderId="17" numFmtId="0" xfId="0" applyFill="1" applyBorder="1" applyAlignment="1" applyProtection="1">
      <alignment vertical="top" wrapText="1"/>
      <protection locked="0"/>
    </xf>
    <xf fontId="0" fillId="12" borderId="18" numFmtId="0" xfId="0" applyFill="1" applyBorder="1" applyAlignment="1" applyProtection="1">
      <alignment horizontal="left" vertical="top" wrapText="1"/>
      <protection locked="0"/>
    </xf>
    <xf fontId="0" fillId="11" borderId="46" numFmtId="0" xfId="0" applyFill="1" applyBorder="1" applyAlignment="1">
      <alignment horizontal="center" vertical="center" wrapText="1"/>
    </xf>
    <xf fontId="0" fillId="11" borderId="0" numFmtId="0" xfId="0" applyFill="1" applyAlignment="1">
      <alignment horizontal="center" vertical="center" wrapText="1"/>
    </xf>
    <xf fontId="0" fillId="11" borderId="47" numFmtId="0" xfId="0" applyFill="1" applyBorder="1" applyAlignment="1">
      <alignment horizontal="center" vertical="center" wrapText="1"/>
    </xf>
    <xf fontId="0" fillId="11" borderId="35" numFmtId="0" xfId="0" applyFill="1" applyBorder="1" applyAlignment="1">
      <alignment horizontal="center" vertical="center" wrapText="1"/>
    </xf>
    <xf fontId="0" fillId="11" borderId="48" numFmtId="0" xfId="0" applyFill="1" applyBorder="1" applyAlignment="1">
      <alignment horizontal="center" vertical="center" wrapText="1"/>
    </xf>
    <xf fontId="0" fillId="11" borderId="49" numFmtId="0" xfId="0" applyFill="1" applyBorder="1" applyAlignment="1">
      <alignment horizontal="center" vertical="center" wrapText="1"/>
    </xf>
    <xf fontId="0" fillId="12" borderId="12" numFmtId="0" xfId="0" applyFill="1" applyBorder="1" applyAlignment="1" applyProtection="1">
      <alignment horizontal="left" vertical="top" wrapText="1"/>
      <protection locked="0"/>
    </xf>
    <xf fontId="0" fillId="11" borderId="36" numFmtId="0" xfId="0" applyFill="1" applyBorder="1" applyAlignment="1">
      <alignment horizontal="center" vertical="center"/>
    </xf>
    <xf fontId="0" fillId="11" borderId="45" numFmtId="0" xfId="0" applyFill="1" applyBorder="1" applyAlignment="1">
      <alignment horizontal="center" vertical="center"/>
    </xf>
    <xf fontId="0" fillId="11" borderId="42" numFmtId="0" xfId="0" applyFill="1" applyBorder="1" applyAlignment="1">
      <alignment horizontal="center" vertical="center"/>
    </xf>
    <xf fontId="0" fillId="12" borderId="17" numFmtId="0" xfId="0" applyFill="1" applyBorder="1" applyAlignment="1" applyProtection="1">
      <alignment horizontal="left" vertical="top" wrapText="1"/>
      <protection locked="0"/>
    </xf>
    <xf fontId="0" fillId="11" borderId="46" numFmtId="0" xfId="0" applyFill="1" applyBorder="1" applyAlignment="1">
      <alignment horizontal="center" vertical="center"/>
    </xf>
    <xf fontId="0" fillId="11" borderId="0" numFmtId="0" xfId="0" applyFill="1" applyAlignment="1">
      <alignment horizontal="center" vertical="center"/>
    </xf>
    <xf fontId="0" fillId="11" borderId="47" numFmtId="0" xfId="0" applyFill="1" applyBorder="1" applyAlignment="1">
      <alignment horizontal="center" vertical="center"/>
    </xf>
    <xf fontId="0" fillId="11" borderId="35" numFmtId="0" xfId="0" applyFill="1" applyBorder="1" applyAlignment="1">
      <alignment horizontal="center" vertical="center"/>
    </xf>
    <xf fontId="0" fillId="11" borderId="48" numFmtId="0" xfId="0" applyFill="1" applyBorder="1" applyAlignment="1">
      <alignment horizontal="center" vertical="center"/>
    </xf>
    <xf fontId="0" fillId="11" borderId="49" numFmtId="0" xfId="0" applyFill="1" applyBorder="1" applyAlignment="1">
      <alignment horizontal="center" vertical="center"/>
    </xf>
    <xf fontId="1" fillId="12" borderId="12" numFmtId="0" xfId="0" applyFont="1" applyFill="1" applyBorder="1" applyAlignment="1" applyProtection="1" quotePrefix="1">
      <alignment horizontal="center" vertical="center" wrapText="1"/>
      <protection locked="0"/>
    </xf>
    <xf fontId="0" fillId="12" borderId="6" numFmtId="0" xfId="0" applyFill="1" applyBorder="1" applyAlignment="1" applyProtection="1">
      <alignment horizontal="left" vertical="top" wrapText="1"/>
      <protection locked="0"/>
    </xf>
    <xf fontId="1" fillId="12" borderId="17" numFmtId="0" xfId="0" applyFont="1" applyFill="1" applyBorder="1" applyAlignment="1" applyProtection="1" quotePrefix="1">
      <alignment horizontal="center" vertical="center" wrapText="1"/>
      <protection locked="0"/>
    </xf>
    <xf fontId="0" fillId="12" borderId="29" numFmtId="0" xfId="0" applyFill="1" applyBorder="1" applyAlignment="1" applyProtection="1">
      <alignment horizontal="left" vertical="top" wrapText="1"/>
      <protection locked="0"/>
    </xf>
    <xf fontId="0" fillId="12" borderId="31" numFmtId="0" xfId="0" applyFill="1" applyBorder="1" applyAlignment="1" applyProtection="1">
      <alignment horizontal="left" vertical="top" wrapText="1"/>
      <protection locked="0"/>
    </xf>
    <xf fontId="1" fillId="12" borderId="31" numFmtId="0" xfId="0" applyFont="1" applyFill="1" applyBorder="1" applyAlignment="1" applyProtection="1" quotePrefix="1">
      <alignment horizontal="center" vertical="center" wrapText="1"/>
      <protection locked="0"/>
    </xf>
    <xf fontId="0" fillId="12" borderId="32" numFmtId="0" xfId="0" applyFill="1" applyBorder="1" applyAlignment="1" applyProtection="1">
      <alignment horizontal="center" vertical="top" wrapText="1"/>
      <protection locked="0"/>
    </xf>
    <xf fontId="0" fillId="12" borderId="26" numFmtId="0" xfId="0" applyFill="1" applyBorder="1" applyAlignment="1" applyProtection="1">
      <alignment horizontal="left" vertical="top" wrapText="1"/>
      <protection locked="0"/>
    </xf>
    <xf fontId="1" fillId="12" borderId="26" numFmtId="0" xfId="0" applyFont="1" applyFill="1" applyBorder="1" applyAlignment="1" applyProtection="1">
      <alignment horizontal="center" vertical="center" wrapText="1"/>
      <protection locked="0"/>
    </xf>
    <xf fontId="0" fillId="12" borderId="9" numFmtId="0" xfId="0" applyFill="1" applyBorder="1" applyAlignment="1" applyProtection="1">
      <alignment horizontal="center" vertical="top" wrapText="1"/>
      <protection locked="0"/>
    </xf>
    <xf fontId="0" fillId="12" borderId="34" numFmtId="0" xfId="0" applyFill="1" applyBorder="1" applyAlignment="1" applyProtection="1">
      <alignment horizontal="left" vertical="top" wrapText="1"/>
      <protection locked="0"/>
    </xf>
    <xf fontId="0" fillId="12" borderId="35" numFmtId="0" xfId="0" applyFill="1" applyBorder="1" applyAlignment="1" applyProtection="1">
      <alignment horizontal="left" vertical="top" wrapText="1"/>
      <protection locked="0"/>
    </xf>
    <xf fontId="0" fillId="12" borderId="17" numFmtId="0" xfId="0" applyFill="1" applyBorder="1" applyAlignment="1" applyProtection="1">
      <alignment horizontal="left" indent="1" vertical="top" wrapText="1"/>
      <protection locked="0"/>
    </xf>
    <xf fontId="0" fillId="12" borderId="24" numFmtId="0" xfId="0" applyFill="1" applyBorder="1" applyAlignment="1" applyProtection="1">
      <alignment vertical="top" wrapText="1"/>
      <protection locked="0"/>
    </xf>
    <xf fontId="0" fillId="12" borderId="31" numFmtId="0" xfId="0" applyFill="1" applyBorder="1" applyAlignment="1" applyProtection="1">
      <alignment horizontal="left" indent="1" vertical="top" wrapText="1"/>
      <protection locked="0"/>
    </xf>
    <xf fontId="0" fillId="12" borderId="24" numFmtId="0" xfId="0" applyFill="1" applyBorder="1" applyAlignment="1" applyProtection="1">
      <alignment horizontal="left" vertical="top" wrapText="1"/>
      <protection locked="0"/>
    </xf>
    <xf fontId="0" fillId="12" borderId="5" numFmtId="0" xfId="0" applyFill="1" applyBorder="1" applyAlignment="1" applyProtection="1">
      <alignment horizontal="left" vertical="top" wrapText="1"/>
      <protection locked="0"/>
    </xf>
    <xf fontId="0" fillId="12" borderId="37" numFmtId="0" xfId="0" applyFill="1" applyBorder="1" applyAlignment="1" applyProtection="1">
      <alignment horizontal="left" vertical="top" wrapText="1"/>
      <protection locked="0"/>
    </xf>
    <xf fontId="0" fillId="12" borderId="12" numFmtId="0" xfId="0" applyFill="1" applyBorder="1" applyAlignment="1" applyProtection="1">
      <alignment horizontal="center" vertical="center" wrapText="1"/>
      <protection locked="0"/>
    </xf>
    <xf fontId="0" fillId="12" borderId="17" numFmtId="0" xfId="0" applyFill="1" applyBorder="1" applyAlignment="1" applyProtection="1">
      <alignment horizontal="center" vertical="center" wrapText="1"/>
      <protection locked="0"/>
    </xf>
    <xf fontId="0" fillId="12" borderId="8" numFmtId="0" xfId="0" applyFill="1" applyBorder="1" applyAlignment="1" applyProtection="1">
      <alignment vertical="top" wrapText="1"/>
      <protection locked="0"/>
    </xf>
    <xf fontId="0" fillId="12" borderId="26" numFmtId="0" xfId="0" applyFill="1" applyBorder="1" applyAlignment="1" applyProtection="1">
      <alignment horizontal="center" vertical="center" wrapText="1"/>
      <protection locked="0"/>
    </xf>
    <xf fontId="0" fillId="12" borderId="31" numFmtId="0" xfId="0" applyFill="1" applyBorder="1" applyAlignment="1" applyProtection="1">
      <alignment vertical="top" wrapText="1"/>
      <protection locked="0"/>
    </xf>
    <xf fontId="4" fillId="11" borderId="31" numFmtId="0" xfId="0" applyFont="1" applyFill="1" applyBorder="1" applyAlignment="1">
      <alignment horizontal="center" vertical="center" wrapText="1"/>
    </xf>
    <xf fontId="4" fillId="11" borderId="16" numFmtId="0" xfId="0" applyFont="1" applyFill="1" applyBorder="1" applyAlignment="1">
      <alignment horizontal="center" vertical="center"/>
    </xf>
    <xf fontId="4" fillId="11" borderId="34" numFmt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15" workbookViewId="0">
      <selection activeCell="A12" activeCellId="0" sqref="A12"/>
    </sheetView>
  </sheetViews>
  <sheetFormatPr defaultRowHeight="15"/>
  <cols>
    <col customWidth="1" min="1" max="1" style="1" width="117.42578125"/>
  </cols>
  <sheetData>
    <row r="1">
      <c r="A1" s="2" t="s">
        <v>0</v>
      </c>
    </row>
    <row r="2">
      <c r="A2" s="3" t="s">
        <v>1</v>
      </c>
      <c r="B2" s="4" t="b">
        <v>0</v>
      </c>
    </row>
    <row r="3">
      <c r="A3" s="3" t="s">
        <v>2</v>
      </c>
      <c r="B3" s="4" t="b">
        <v>0</v>
      </c>
    </row>
    <row r="4">
      <c r="A4" s="3" t="s">
        <v>3</v>
      </c>
      <c r="B4" s="4" t="b">
        <v>0</v>
      </c>
    </row>
    <row r="5">
      <c r="A5" s="3" t="s">
        <v>4</v>
      </c>
      <c r="B5" s="4" t="b">
        <v>0</v>
      </c>
    </row>
    <row r="7">
      <c r="A7" s="2" t="s">
        <v>5</v>
      </c>
    </row>
    <row r="8">
      <c r="A8" s="5" t="s">
        <v>6</v>
      </c>
      <c r="B8" s="4" t="b">
        <v>0</v>
      </c>
      <c r="E8" s="6"/>
    </row>
    <row r="9">
      <c r="A9" s="5" t="s">
        <v>7</v>
      </c>
      <c r="B9" s="4" t="b">
        <v>0</v>
      </c>
    </row>
    <row r="10">
      <c r="A10" s="7" t="s">
        <v>8</v>
      </c>
      <c r="B10" s="4" t="b">
        <v>0</v>
      </c>
    </row>
    <row r="11">
      <c r="A11" s="7" t="s">
        <v>9</v>
      </c>
      <c r="B11" s="4" t="b">
        <v>0</v>
      </c>
    </row>
  </sheetData>
  <sheetProtection autoFilter="1" deleteColumns="1" deleteRows="1" formatCells="1" formatColumns="1" formatRows="1" insertColumns="1" insertHyperlinks="1" insertRows="1" pivotTables="1" selectLockedCells="1" selectUnlockedCells="0" sheet="0"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expression" priority="3" id="{001800DF-00BD-484B-813E-001500C40092}">
            <xm:f>B2=FALSE</xm:f>
            <x14:dxf>
              <fill>
                <patternFill patternType="solid">
                  <fgColor indexed="5"/>
                  <bgColor indexed="5"/>
                </patternFill>
              </fill>
            </x14:dxf>
          </x14:cfRule>
          <xm:sqref>A2:A5 A9:A11</xm:sqref>
        </x14:conditionalFormatting>
        <x14:conditionalFormatting xmlns:xm="http://schemas.microsoft.com/office/excel/2006/main">
          <x14:cfRule type="expression" priority="4" id="{003A00E3-0033-447F-9E49-003A00C1001D}">
            <xm:f>B2=TRUE</xm:f>
            <x14:dxf>
              <fill>
                <patternFill patternType="solid">
                  <fgColor theme="9" tint="0.79998168889431442"/>
                  <bgColor theme="9" tint="0.79998168889431442"/>
                </patternFill>
              </fill>
            </x14:dxf>
          </x14:cfRule>
          <xm:sqref>A2:A5 A9:A11</xm:sqref>
        </x14:conditionalFormatting>
        <x14:conditionalFormatting xmlns:xm="http://schemas.microsoft.com/office/excel/2006/main">
          <x14:cfRule type="expression" priority="1" id="{0034002A-00B6-46EA-9287-008100B70050}">
            <xm:f>B8=FALSE</xm:f>
            <x14:dxf>
              <fill>
                <patternFill patternType="solid">
                  <fgColor indexed="5"/>
                  <bgColor indexed="5"/>
                </patternFill>
              </fill>
            </x14:dxf>
          </x14:cfRule>
          <xm:sqref>A8</xm:sqref>
        </x14:conditionalFormatting>
        <x14:conditionalFormatting xmlns:xm="http://schemas.microsoft.com/office/excel/2006/main">
          <x14:cfRule type="expression" priority="2" id="{003700EA-007D-46A4-BE29-003E003B00D8}">
            <xm:f>B8=TRUE</xm:f>
            <x14:dxf>
              <fill>
                <patternFill patternType="solid">
                  <fgColor theme="9" tint="0.79998168889431442"/>
                  <bgColor theme="9" tint="0.79998168889431442"/>
                </patternFill>
              </fill>
            </x14:dxf>
          </x14:cfRule>
          <xm:sqref>A8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14" zoomScale="100" workbookViewId="0">
      <selection activeCell="E70" activeCellId="0" sqref="E70"/>
    </sheetView>
  </sheetViews>
  <sheetFormatPr defaultRowHeight="14.25"/>
  <cols>
    <col customWidth="1" min="1" max="1" style="6" width="23.7109375"/>
    <col customWidth="1" min="2" max="2" style="8" width="19.85546875"/>
    <col customWidth="1" min="3" max="3" style="7" width="94.140625"/>
    <col customWidth="1" min="4" max="4" style="8" width="24.85546875"/>
    <col customWidth="1" min="5" max="5" style="7" width="101.28515625"/>
  </cols>
  <sheetData>
    <row r="1" ht="31.5" customHeight="1">
      <c r="A1" s="9" t="s">
        <v>10</v>
      </c>
      <c r="B1" s="10"/>
      <c r="C1" s="10"/>
      <c r="D1" s="10"/>
      <c r="E1" s="11"/>
    </row>
    <row r="2" ht="5.25" customHeight="1"/>
    <row r="3">
      <c r="A3" s="12" t="s">
        <v>11</v>
      </c>
      <c r="B3" s="13" t="s">
        <v>12</v>
      </c>
      <c r="C3" s="14" t="s">
        <v>13</v>
      </c>
      <c r="D3" s="14" t="s">
        <v>14</v>
      </c>
      <c r="E3" s="15" t="s">
        <v>15</v>
      </c>
      <c r="F3" s="5"/>
    </row>
    <row r="4" ht="15.75">
      <c r="A4" s="16"/>
      <c r="B4" s="17" t="s">
        <v>16</v>
      </c>
      <c r="C4" s="18" t="s">
        <v>17</v>
      </c>
      <c r="D4" s="18" t="s">
        <v>18</v>
      </c>
      <c r="E4" s="19" t="s">
        <v>19</v>
      </c>
      <c r="F4" s="5"/>
    </row>
    <row r="5" ht="4.5" customHeight="1">
      <c r="A5" s="20"/>
      <c r="B5" s="21"/>
      <c r="C5" s="21"/>
      <c r="D5" s="21"/>
      <c r="E5" s="22"/>
      <c r="F5" s="5"/>
      <c r="G5" s="5"/>
      <c r="H5" s="5"/>
      <c r="I5" s="5"/>
    </row>
    <row r="6" ht="32.25" customHeight="1">
      <c r="A6" s="23" t="s">
        <v>20</v>
      </c>
      <c r="B6" s="24" t="s">
        <v>21</v>
      </c>
      <c r="C6" s="25" t="s">
        <v>22</v>
      </c>
      <c r="D6" s="26" t="s">
        <v>23</v>
      </c>
      <c r="E6" s="27" t="s">
        <v>24</v>
      </c>
      <c r="F6" s="28" t="s">
        <v>25</v>
      </c>
      <c r="G6" s="5"/>
      <c r="H6" s="5"/>
      <c r="I6" s="5"/>
    </row>
    <row r="7" ht="21" customHeight="1">
      <c r="A7" s="29"/>
      <c r="B7" s="30"/>
      <c r="C7" s="31" t="s">
        <v>26</v>
      </c>
      <c r="D7" s="32"/>
      <c r="E7" s="33" t="s">
        <v>27</v>
      </c>
      <c r="F7" s="34"/>
      <c r="G7" s="5"/>
      <c r="H7" s="5"/>
      <c r="I7" s="5"/>
    </row>
    <row r="8" ht="21.75" customHeight="1">
      <c r="A8" s="29"/>
      <c r="B8" s="30"/>
      <c r="C8" s="35"/>
      <c r="D8" s="32"/>
      <c r="E8" s="33" t="s">
        <v>28</v>
      </c>
      <c r="F8" s="34"/>
      <c r="G8" s="5"/>
      <c r="H8" s="5"/>
      <c r="I8" s="5"/>
    </row>
    <row r="9" ht="32.25" customHeight="1">
      <c r="A9" s="29"/>
      <c r="B9" s="30"/>
      <c r="C9" s="35"/>
      <c r="D9" s="32"/>
      <c r="E9" s="33" t="s">
        <v>29</v>
      </c>
      <c r="F9" s="34"/>
      <c r="G9" s="5"/>
      <c r="H9" s="5"/>
      <c r="I9" s="5"/>
    </row>
    <row r="10" ht="32.25" customHeight="1">
      <c r="A10" s="36"/>
      <c r="B10" s="37"/>
      <c r="C10" s="38"/>
      <c r="D10" s="39"/>
      <c r="E10" s="40" t="s">
        <v>30</v>
      </c>
      <c r="F10" s="41"/>
      <c r="G10" s="5"/>
      <c r="H10" s="5"/>
      <c r="I10" s="5"/>
    </row>
    <row r="11" ht="4.5" customHeight="1">
      <c r="A11" s="20"/>
      <c r="B11" s="21"/>
      <c r="C11" s="21"/>
      <c r="D11" s="21"/>
      <c r="E11" s="22"/>
      <c r="F11" s="5"/>
      <c r="G11" s="5"/>
      <c r="H11" s="5"/>
      <c r="I11" s="5"/>
    </row>
    <row r="12" ht="19.5" customHeight="1">
      <c r="A12" s="23" t="s">
        <v>31</v>
      </c>
      <c r="B12" s="24" t="s">
        <v>21</v>
      </c>
      <c r="C12" s="42" t="s">
        <v>32</v>
      </c>
      <c r="D12" s="26" t="s">
        <v>33</v>
      </c>
      <c r="E12" s="43" t="s">
        <v>34</v>
      </c>
      <c r="F12" s="44" t="s">
        <v>25</v>
      </c>
      <c r="G12" s="5"/>
      <c r="H12" s="5"/>
      <c r="I12" s="5"/>
    </row>
    <row r="13">
      <c r="A13" s="45"/>
      <c r="B13" s="46"/>
      <c r="C13" s="47"/>
      <c r="D13" s="48"/>
      <c r="E13" s="49" t="s">
        <v>35</v>
      </c>
      <c r="F13" s="50"/>
      <c r="G13" s="5"/>
      <c r="H13" s="5"/>
      <c r="I13" s="5"/>
    </row>
    <row r="14" ht="19.5" customHeight="1">
      <c r="A14" s="45"/>
      <c r="B14" s="46"/>
      <c r="C14" s="35"/>
      <c r="D14" s="48"/>
      <c r="E14" s="49" t="s">
        <v>36</v>
      </c>
      <c r="F14" s="50"/>
      <c r="G14" s="5"/>
      <c r="H14" s="5"/>
      <c r="I14" s="5"/>
    </row>
    <row r="15" ht="15.75">
      <c r="A15" s="51"/>
      <c r="B15" s="52"/>
      <c r="C15" s="38"/>
      <c r="D15" s="53"/>
      <c r="E15" s="54" t="s">
        <v>37</v>
      </c>
      <c r="F15" s="55"/>
      <c r="G15" s="5"/>
      <c r="H15" s="5"/>
      <c r="I15" s="5"/>
    </row>
    <row r="16" ht="4.5" customHeight="1">
      <c r="A16" s="56"/>
      <c r="B16" s="57"/>
      <c r="C16" s="57"/>
      <c r="D16" s="57"/>
      <c r="E16" s="58"/>
      <c r="F16" s="5"/>
      <c r="G16" s="5"/>
      <c r="H16" s="5"/>
      <c r="I16" s="5"/>
    </row>
    <row r="17" ht="18.75" customHeight="1">
      <c r="A17" s="23" t="s">
        <v>38</v>
      </c>
      <c r="B17" s="24" t="s">
        <v>21</v>
      </c>
      <c r="C17" s="42" t="s">
        <v>39</v>
      </c>
      <c r="D17" s="59" t="s">
        <v>40</v>
      </c>
      <c r="E17" s="60" t="s">
        <v>41</v>
      </c>
      <c r="F17" s="28" t="s">
        <v>25</v>
      </c>
      <c r="G17" s="5"/>
      <c r="H17" s="5"/>
      <c r="I17" s="5"/>
    </row>
    <row r="18" ht="18.75" customHeight="1">
      <c r="A18" s="45"/>
      <c r="B18" s="46"/>
      <c r="C18" s="47" t="s">
        <v>42</v>
      </c>
      <c r="D18" s="61"/>
      <c r="E18" s="62"/>
      <c r="F18" s="34"/>
      <c r="G18" s="5"/>
      <c r="H18" s="5"/>
      <c r="I18" s="5"/>
    </row>
    <row r="19" ht="18.75" customHeight="1">
      <c r="A19" s="63"/>
      <c r="B19" s="64"/>
      <c r="C19" s="65" t="s">
        <v>43</v>
      </c>
      <c r="D19" s="66"/>
      <c r="E19" s="67"/>
      <c r="F19" s="34"/>
      <c r="G19" s="5"/>
      <c r="H19" s="5"/>
      <c r="I19" s="5"/>
    </row>
    <row r="20" ht="18" customHeight="1">
      <c r="A20" s="51"/>
      <c r="B20" s="52"/>
      <c r="C20" s="68" t="s">
        <v>44</v>
      </c>
      <c r="D20" s="69"/>
      <c r="E20" s="70"/>
      <c r="F20" s="41"/>
      <c r="G20" s="5"/>
      <c r="H20" s="5"/>
      <c r="I20" s="5"/>
    </row>
    <row r="21" ht="4.5" customHeight="1">
      <c r="A21" s="56"/>
      <c r="B21" s="57"/>
      <c r="C21" s="57"/>
      <c r="D21" s="57"/>
      <c r="E21" s="58"/>
      <c r="F21" s="5"/>
      <c r="G21" s="5"/>
      <c r="H21" s="5"/>
      <c r="I21" s="5"/>
    </row>
    <row r="22" ht="18.75" customHeight="1">
      <c r="A22" s="71" t="s">
        <v>45</v>
      </c>
      <c r="B22" s="72" t="s">
        <v>21</v>
      </c>
      <c r="C22" s="73" t="s">
        <v>46</v>
      </c>
      <c r="D22" s="74" t="s">
        <v>33</v>
      </c>
      <c r="E22" s="75" t="s">
        <v>47</v>
      </c>
      <c r="F22" s="44" t="s">
        <v>48</v>
      </c>
      <c r="G22" s="5"/>
      <c r="H22" s="5"/>
      <c r="I22" s="5"/>
    </row>
    <row r="23" ht="32.25" customHeight="1">
      <c r="A23" s="45"/>
      <c r="B23" s="46"/>
      <c r="C23" s="76" t="s">
        <v>49</v>
      </c>
      <c r="D23" s="48"/>
      <c r="E23" s="77" t="s">
        <v>50</v>
      </c>
      <c r="F23" s="50"/>
      <c r="G23" s="5"/>
      <c r="H23" s="5"/>
      <c r="I23" s="5"/>
    </row>
    <row r="24" ht="34.5" customHeight="1">
      <c r="A24" s="45"/>
      <c r="B24" s="46"/>
      <c r="C24" s="76" t="s">
        <v>51</v>
      </c>
      <c r="D24" s="48"/>
      <c r="E24" s="77" t="s">
        <v>52</v>
      </c>
      <c r="F24" s="50"/>
      <c r="G24" s="5"/>
      <c r="H24" s="5"/>
      <c r="I24" s="5"/>
    </row>
    <row r="25" ht="18.75" customHeight="1">
      <c r="A25" s="45"/>
      <c r="B25" s="46"/>
      <c r="C25" s="76" t="s">
        <v>53</v>
      </c>
      <c r="D25" s="48"/>
      <c r="E25" s="49" t="s">
        <v>54</v>
      </c>
      <c r="F25" s="50"/>
      <c r="G25" s="5"/>
      <c r="H25" s="5"/>
      <c r="I25" s="5"/>
    </row>
    <row r="26" ht="18.75" customHeight="1">
      <c r="A26" s="63"/>
      <c r="B26" s="64"/>
      <c r="C26" s="78" t="s">
        <v>55</v>
      </c>
      <c r="D26" s="79"/>
      <c r="E26" s="80"/>
      <c r="F26" s="50"/>
      <c r="G26" s="5"/>
      <c r="H26" s="5"/>
      <c r="I26" s="5"/>
    </row>
    <row r="27" ht="41.25" customHeight="1">
      <c r="A27" s="63"/>
      <c r="B27" s="64"/>
      <c r="C27" s="81"/>
      <c r="D27" s="79"/>
      <c r="E27" s="80"/>
      <c r="F27" s="55"/>
      <c r="G27" s="5"/>
      <c r="H27" s="5"/>
      <c r="I27" s="5"/>
    </row>
    <row r="28" ht="4.5" customHeight="1">
      <c r="A28" s="56"/>
      <c r="B28" s="57"/>
      <c r="C28" s="57"/>
      <c r="D28" s="57"/>
      <c r="E28" s="58"/>
      <c r="F28" s="5"/>
      <c r="G28" s="5"/>
      <c r="H28" s="5"/>
      <c r="I28" s="5"/>
    </row>
    <row r="29" ht="20.25" customHeight="1">
      <c r="A29" s="23" t="s">
        <v>56</v>
      </c>
      <c r="B29" s="24" t="s">
        <v>21</v>
      </c>
      <c r="C29" s="42" t="s">
        <v>57</v>
      </c>
      <c r="D29" s="26" t="s">
        <v>33</v>
      </c>
      <c r="E29" s="43" t="s">
        <v>58</v>
      </c>
      <c r="F29" s="44" t="s">
        <v>25</v>
      </c>
    </row>
    <row r="30" ht="21" customHeight="1">
      <c r="A30" s="45"/>
      <c r="B30" s="46"/>
      <c r="C30" s="47" t="s">
        <v>59</v>
      </c>
      <c r="D30" s="48"/>
      <c r="E30" s="49" t="s">
        <v>60</v>
      </c>
      <c r="F30" s="50"/>
    </row>
    <row r="31" ht="21" customHeight="1">
      <c r="A31" s="45"/>
      <c r="B31" s="46"/>
      <c r="C31" s="47" t="s">
        <v>61</v>
      </c>
      <c r="D31" s="48"/>
      <c r="E31" s="49" t="s">
        <v>62</v>
      </c>
      <c r="F31" s="50"/>
    </row>
    <row r="32" ht="21.75" customHeight="1">
      <c r="A32" s="51"/>
      <c r="B32" s="52"/>
      <c r="C32" s="68" t="s">
        <v>63</v>
      </c>
      <c r="D32" s="53"/>
      <c r="E32" s="54" t="s">
        <v>64</v>
      </c>
      <c r="F32" s="55"/>
    </row>
    <row r="33" ht="4.5" customHeight="1">
      <c r="A33" s="56"/>
      <c r="B33" s="57"/>
      <c r="C33" s="57"/>
      <c r="D33" s="57"/>
      <c r="E33" s="58"/>
      <c r="F33" s="5"/>
      <c r="G33" s="5"/>
      <c r="H33" s="5"/>
      <c r="I33" s="5"/>
    </row>
    <row r="34" ht="33" customHeight="1">
      <c r="A34" s="82" t="s">
        <v>65</v>
      </c>
      <c r="B34" s="24" t="s">
        <v>21</v>
      </c>
      <c r="C34" s="42" t="s">
        <v>66</v>
      </c>
      <c r="D34" s="26" t="s">
        <v>33</v>
      </c>
      <c r="E34" s="27" t="s">
        <v>67</v>
      </c>
      <c r="F34" s="28" t="s">
        <v>25</v>
      </c>
    </row>
    <row r="35" ht="33" customHeight="1">
      <c r="A35" s="83"/>
      <c r="B35" s="46"/>
      <c r="C35" s="47" t="s">
        <v>68</v>
      </c>
      <c r="D35" s="48"/>
      <c r="E35" s="84" t="s">
        <v>69</v>
      </c>
      <c r="F35" s="34"/>
    </row>
    <row r="36" ht="34.5" customHeight="1">
      <c r="A36" s="83"/>
      <c r="B36" s="46"/>
      <c r="C36" s="47" t="s">
        <v>70</v>
      </c>
      <c r="D36" s="48"/>
      <c r="E36" s="62" t="s">
        <v>71</v>
      </c>
      <c r="F36" s="34"/>
    </row>
    <row r="37" ht="15.75">
      <c r="A37" s="85"/>
      <c r="B37" s="52"/>
      <c r="C37" s="68" t="s">
        <v>72</v>
      </c>
      <c r="D37" s="53"/>
      <c r="E37" s="86"/>
      <c r="F37" s="41"/>
    </row>
    <row r="38" ht="4.5" customHeight="1">
      <c r="A38" s="56"/>
      <c r="B38" s="57"/>
      <c r="C38" s="57"/>
      <c r="D38" s="57"/>
      <c r="E38" s="58"/>
      <c r="F38" s="5"/>
      <c r="G38" s="5"/>
      <c r="H38" s="5"/>
      <c r="I38" s="5"/>
    </row>
    <row r="39" ht="34.5" customHeight="1">
      <c r="A39" s="82" t="s">
        <v>73</v>
      </c>
      <c r="B39" s="24" t="s">
        <v>21</v>
      </c>
      <c r="C39" s="87" t="s">
        <v>74</v>
      </c>
      <c r="D39" s="26" t="s">
        <v>33</v>
      </c>
      <c r="E39" s="27" t="s">
        <v>75</v>
      </c>
      <c r="F39" s="44" t="s">
        <v>48</v>
      </c>
      <c r="G39" s="5"/>
      <c r="H39" s="5"/>
      <c r="I39" s="5"/>
    </row>
    <row r="40">
      <c r="A40" s="83"/>
      <c r="B40" s="46"/>
      <c r="C40" s="73"/>
      <c r="D40" s="48"/>
      <c r="E40" s="33" t="s">
        <v>76</v>
      </c>
      <c r="F40" s="50"/>
      <c r="G40" s="5"/>
      <c r="H40" s="5"/>
      <c r="I40" s="5"/>
    </row>
    <row r="41" ht="28.5">
      <c r="A41" s="83"/>
      <c r="B41" s="46"/>
      <c r="C41" s="31" t="s">
        <v>77</v>
      </c>
      <c r="D41" s="48"/>
      <c r="E41" s="33" t="s">
        <v>78</v>
      </c>
      <c r="F41" s="50"/>
      <c r="G41" s="5"/>
      <c r="H41" s="5"/>
      <c r="I41" s="5"/>
    </row>
    <row r="42" ht="28.5">
      <c r="A42" s="85"/>
      <c r="B42" s="52"/>
      <c r="C42" s="88"/>
      <c r="D42" s="53"/>
      <c r="E42" s="89" t="s">
        <v>79</v>
      </c>
      <c r="F42" s="55"/>
      <c r="G42" s="5"/>
      <c r="H42" s="5"/>
      <c r="I42" s="5"/>
    </row>
    <row r="43" ht="4.5" customHeight="1">
      <c r="A43" s="56"/>
      <c r="B43" s="57"/>
      <c r="C43" s="57"/>
      <c r="D43" s="57"/>
      <c r="E43" s="58"/>
      <c r="F43" s="5"/>
      <c r="G43" s="5"/>
      <c r="H43" s="5"/>
      <c r="I43" s="5"/>
    </row>
    <row r="44" ht="18.75" customHeight="1">
      <c r="A44" s="82" t="s">
        <v>80</v>
      </c>
      <c r="B44" s="24" t="s">
        <v>21</v>
      </c>
      <c r="C44" s="42" t="s">
        <v>81</v>
      </c>
      <c r="D44" s="26" t="s">
        <v>33</v>
      </c>
      <c r="E44" s="27" t="s">
        <v>82</v>
      </c>
      <c r="F44" s="44" t="s">
        <v>48</v>
      </c>
    </row>
    <row r="45" ht="17.25" customHeight="1">
      <c r="A45" s="83"/>
      <c r="B45" s="46"/>
      <c r="C45" s="47" t="s">
        <v>83</v>
      </c>
      <c r="D45" s="48"/>
      <c r="E45" s="33" t="s">
        <v>84</v>
      </c>
      <c r="F45" s="50"/>
    </row>
    <row r="46" ht="18.75" customHeight="1">
      <c r="A46" s="83"/>
      <c r="B46" s="46"/>
      <c r="C46" s="47"/>
      <c r="D46" s="48"/>
      <c r="E46" s="33" t="s">
        <v>85</v>
      </c>
      <c r="F46" s="50"/>
    </row>
    <row r="47" ht="42.75">
      <c r="A47" s="85"/>
      <c r="B47" s="52"/>
      <c r="C47" s="88"/>
      <c r="D47" s="53"/>
      <c r="E47" s="89" t="s">
        <v>86</v>
      </c>
      <c r="F47" s="55"/>
    </row>
    <row r="48" ht="4.5" customHeight="1">
      <c r="A48" s="90"/>
      <c r="B48" s="91"/>
      <c r="C48" s="91"/>
      <c r="D48" s="91"/>
      <c r="E48" s="92"/>
      <c r="F48" s="5"/>
      <c r="G48" s="5"/>
      <c r="H48" s="5"/>
      <c r="I48" s="5"/>
    </row>
    <row r="49" ht="20.25" customHeight="1">
      <c r="A49" s="82" t="s">
        <v>87</v>
      </c>
      <c r="B49" s="93" t="s">
        <v>21</v>
      </c>
      <c r="C49" s="42" t="s">
        <v>88</v>
      </c>
      <c r="D49" s="94" t="s">
        <v>33</v>
      </c>
      <c r="E49" s="27" t="s">
        <v>89</v>
      </c>
      <c r="F49" s="28" t="s">
        <v>48</v>
      </c>
    </row>
    <row r="50" ht="19.5" customHeight="1">
      <c r="A50" s="83"/>
      <c r="B50" s="95"/>
      <c r="C50" s="47" t="s">
        <v>90</v>
      </c>
      <c r="D50" s="96"/>
      <c r="E50" s="33"/>
      <c r="F50" s="34"/>
    </row>
    <row r="51" ht="19.5" customHeight="1">
      <c r="A51" s="97"/>
      <c r="B51" s="98"/>
      <c r="C51" s="47" t="s">
        <v>91</v>
      </c>
      <c r="D51" s="99"/>
      <c r="E51" s="33" t="s">
        <v>92</v>
      </c>
      <c r="F51" s="34"/>
    </row>
    <row r="52" ht="19.5" customHeight="1">
      <c r="A52" s="97"/>
      <c r="B52" s="98"/>
      <c r="C52" s="47"/>
      <c r="D52" s="99"/>
      <c r="E52" s="33"/>
      <c r="F52" s="34"/>
    </row>
    <row r="53" ht="19.5" customHeight="1">
      <c r="A53" s="97"/>
      <c r="B53" s="98"/>
      <c r="C53" s="47" t="s">
        <v>93</v>
      </c>
      <c r="D53" s="99"/>
      <c r="E53" s="33" t="s">
        <v>94</v>
      </c>
      <c r="F53" s="34"/>
    </row>
    <row r="54" ht="19.5" customHeight="1">
      <c r="A54" s="97"/>
      <c r="B54" s="98"/>
      <c r="C54" s="47"/>
      <c r="D54" s="99"/>
      <c r="E54" s="33" t="s">
        <v>95</v>
      </c>
      <c r="F54" s="34"/>
    </row>
    <row r="55" ht="19.5" customHeight="1">
      <c r="A55" s="85"/>
      <c r="B55" s="100"/>
      <c r="C55" s="68"/>
      <c r="D55" s="101"/>
      <c r="E55" s="89"/>
      <c r="F55" s="41"/>
    </row>
    <row r="56" ht="4.5" customHeight="1">
      <c r="A56" s="90"/>
      <c r="B56" s="91"/>
      <c r="C56" s="91"/>
      <c r="D56" s="91"/>
      <c r="E56" s="92"/>
      <c r="F56" s="5"/>
      <c r="G56" s="5"/>
      <c r="H56" s="5"/>
      <c r="I56" s="5"/>
    </row>
    <row r="57" ht="28.5">
      <c r="A57" s="102" t="s">
        <v>96</v>
      </c>
      <c r="B57" s="24" t="s">
        <v>21</v>
      </c>
      <c r="C57" s="42" t="s">
        <v>97</v>
      </c>
      <c r="D57" s="26" t="s">
        <v>33</v>
      </c>
      <c r="E57" s="27" t="s">
        <v>98</v>
      </c>
      <c r="F57" s="44" t="s">
        <v>48</v>
      </c>
      <c r="G57" s="5"/>
      <c r="H57" s="5"/>
      <c r="I57" s="5"/>
    </row>
    <row r="58">
      <c r="A58" s="103"/>
      <c r="B58" s="46"/>
      <c r="C58" s="31" t="s">
        <v>99</v>
      </c>
      <c r="D58" s="48"/>
      <c r="E58" s="33" t="s">
        <v>100</v>
      </c>
      <c r="F58" s="50"/>
      <c r="G58" s="5"/>
      <c r="H58" s="5"/>
      <c r="I58" s="5"/>
    </row>
    <row r="59">
      <c r="A59" s="103"/>
      <c r="B59" s="46"/>
      <c r="C59" s="104"/>
      <c r="D59" s="48"/>
      <c r="E59" s="33" t="s">
        <v>101</v>
      </c>
      <c r="F59" s="50"/>
    </row>
    <row r="60" ht="28.5">
      <c r="A60" s="105"/>
      <c r="B60" s="52"/>
      <c r="C60" s="88"/>
      <c r="D60" s="53"/>
      <c r="E60" s="89" t="s">
        <v>102</v>
      </c>
      <c r="F60" s="55"/>
    </row>
    <row r="61" ht="15.75"/>
    <row r="62">
      <c r="E62" s="106" t="s">
        <v>103</v>
      </c>
      <c r="F62" s="107" t="s">
        <v>104</v>
      </c>
    </row>
    <row r="63" ht="15.75">
      <c r="E63" s="108"/>
      <c r="F63" s="109"/>
    </row>
    <row r="64">
      <c r="E64" s="110" t="s">
        <v>105</v>
      </c>
      <c r="F64" s="111">
        <f>COUNTIF(F6:F60,"S")*0.6 + COUNTIF(F6:F60,"G")*0.8 + COUNTIF(F6:F60,"E")*1</f>
        <v>3</v>
      </c>
      <c r="G64" s="112" t="s">
        <v>106</v>
      </c>
      <c r="H64" s="113">
        <f>ROUND(F64,0)</f>
        <v>3</v>
      </c>
    </row>
    <row r="65" ht="15.75">
      <c r="E65" s="114"/>
      <c r="F65" s="115">
        <f>COUNTIF(F48:F63,"S")*0.375 + COUNTIF(F48:F63,"G")*0.55 + COUNTIF(F48:F63,"E")*0.75</f>
        <v>0</v>
      </c>
      <c r="G65" s="116"/>
      <c r="H65" s="117"/>
    </row>
    <row r="67">
      <c r="E67" s="118" t="s">
        <v>107</v>
      </c>
      <c r="F67">
        <f>COUNTIF(F6:F60,"I")</f>
        <v>5</v>
      </c>
    </row>
    <row r="68">
      <c r="F68" s="119"/>
    </row>
  </sheetData>
  <sheetProtection autoFilter="1" deleteColumns="1" deleteRows="1" formatCells="0" formatColumns="1" formatRows="1" insertColumns="1" insertHyperlinks="1" insertRows="1" pivotTables="1" selectLockedCells="1" selectUnlockedCells="0" sheet="0" sort="1"/>
  <mergeCells count="62">
    <mergeCell ref="A1:E1"/>
    <mergeCell ref="A3:A4"/>
    <mergeCell ref="A6:A10"/>
    <mergeCell ref="B6:B10"/>
    <mergeCell ref="D6:D10"/>
    <mergeCell ref="F6:F10"/>
    <mergeCell ref="C8:C10"/>
    <mergeCell ref="A12:A15"/>
    <mergeCell ref="B12:B15"/>
    <mergeCell ref="C12:C13"/>
    <mergeCell ref="D12:D15"/>
    <mergeCell ref="F12:F15"/>
    <mergeCell ref="C14:C15"/>
    <mergeCell ref="A17:A20"/>
    <mergeCell ref="B17:B20"/>
    <mergeCell ref="D17:D20"/>
    <mergeCell ref="E17:E18"/>
    <mergeCell ref="F17:F20"/>
    <mergeCell ref="E19:E20"/>
    <mergeCell ref="A22:A27"/>
    <mergeCell ref="B22:B27"/>
    <mergeCell ref="D22:D27"/>
    <mergeCell ref="F22:F27"/>
    <mergeCell ref="E25:E27"/>
    <mergeCell ref="A29:A32"/>
    <mergeCell ref="B29:B32"/>
    <mergeCell ref="D29:D32"/>
    <mergeCell ref="F29:F32"/>
    <mergeCell ref="A34:A37"/>
    <mergeCell ref="B34:B37"/>
    <mergeCell ref="D34:D37"/>
    <mergeCell ref="F34:F37"/>
    <mergeCell ref="E36:E37"/>
    <mergeCell ref="A39:A42"/>
    <mergeCell ref="B39:B42"/>
    <mergeCell ref="C39:C40"/>
    <mergeCell ref="D39:D42"/>
    <mergeCell ref="F39:F42"/>
    <mergeCell ref="A44:A47"/>
    <mergeCell ref="B44:B47"/>
    <mergeCell ref="D44:D47"/>
    <mergeCell ref="F44:F47"/>
    <mergeCell ref="C45:C46"/>
    <mergeCell ref="A49:A55"/>
    <mergeCell ref="B49:B55"/>
    <mergeCell ref="D49:D55"/>
    <mergeCell ref="E49:E50"/>
    <mergeCell ref="F49:F55"/>
    <mergeCell ref="C51:C52"/>
    <mergeCell ref="E51:E52"/>
    <mergeCell ref="C53:C55"/>
    <mergeCell ref="E54:E55"/>
    <mergeCell ref="A57:A60"/>
    <mergeCell ref="B57:B60"/>
    <mergeCell ref="D57:D60"/>
    <mergeCell ref="F57:F60"/>
    <mergeCell ref="E62:E63"/>
    <mergeCell ref="F62:F63"/>
    <mergeCell ref="E64:E65"/>
    <mergeCell ref="F64:F65"/>
    <mergeCell ref="G64:G65"/>
    <mergeCell ref="H64:H6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3" operator="equal" stopIfTrue="1" id="{00DA00A5-000F-41BD-9C6D-002F00000041}">
            <xm:f>"I"</xm:f>
            <x14:dxf>
              <font>
                <color rgb="FF9C0006"/>
              </font>
              <fill>
                <patternFill patternType="solid">
                  <fgColor rgb="FFFFC7CE"/>
                  <bgColor rgb="FFFFC7CE"/>
                </patternFill>
              </fill>
            </x14:dxf>
          </x14:cfRule>
          <xm:sqref>F6:F10 F12 F17 F22 F29 F34 F39 F44 F49 F57</xm:sqref>
        </x14:conditionalFormatting>
        <x14:conditionalFormatting xmlns:xm="http://schemas.microsoft.com/office/excel/2006/main">
          <x14:cfRule type="cellIs" priority="2" operator="equal" id="{0063008A-00E0-4113-870C-00FD00E000D0}">
            <xm:f>"NO"</xm:f>
            <x14:dxf>
              <font>
                <color rgb="FF9C0006"/>
              </font>
              <fill>
                <patternFill patternType="solid">
                  <fgColor rgb="FFFFC7CE"/>
                  <bgColor rgb="FFFFC7CE"/>
                </patternFill>
              </fill>
            </x14:dxf>
          </x14:cfRule>
          <xm:sqref>F62:F63</xm:sqref>
        </x14:conditionalFormatting>
        <x14:conditionalFormatting xmlns:xm="http://schemas.microsoft.com/office/excel/2006/main">
          <x14:cfRule type="expression" priority="33" id="{009A00B5-00A1-49C2-98F4-0077000B0097}">
            <xm:f>(COUNTIF(F6:F60,"I")+COUNTIF(F62,"NO") &gt; 0)</xm:f>
            <x14:dxf>
              <fill>
                <patternFill patternType="solid">
                  <fgColor indexed="2"/>
                  <bgColor indexed="2"/>
                </patternFill>
              </fill>
            </x14:dxf>
          </x14:cfRule>
          <xm:sqref>F64</xm:sqref>
        </x14:conditionalFormatting>
      </x14:conditionalFormattings>
    </ext>
    <ext xmlns:x14="http://schemas.microsoft.com/office/spreadsheetml/2009/9/main" uri="{CCE6A557-97BC-4b89-ADB6-D9C93CAAB3DF}">
      <x14:dataValidations xmlns:xm="http://schemas.microsoft.com/office/excel/2006/main" count="2" disablePrompts="0">
        <x14:dataValidation xr:uid="{00B200B8-00E9-4771-80A9-00FE00F400DC}" type="list" allowBlank="1" errorStyle="stop" imeMode="noControl" operator="between" showDropDown="0" showErrorMessage="1" showInputMessage="1">
          <x14:formula1>
            <xm:f>"YES,NO"</xm:f>
          </x14:formula1>
          <xm:sqref>F62:F63</xm:sqref>
        </x14:dataValidation>
        <x14:dataValidation xr:uid="{00C60080-00E5-4DF6-9306-003F00E700E9}" type="list" allowBlank="1" errorStyle="stop" imeMode="noControl" operator="between" showDropDown="0" showErrorMessage="1" showInputMessage="1">
          <x14:formula1>
            <xm:f>"I,S,G,E"</xm:f>
          </x14:formula1>
          <xm:sqref>F12:F15 F17:F19 F22:F23 F29:F32 F34:F37 F39:F42 F44:F47 F49:F55 F57:F60 F6:F10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57" activeCellId="0" sqref="A57:A60"/>
    </sheetView>
  </sheetViews>
  <sheetFormatPr defaultRowHeight="15"/>
  <cols>
    <col customWidth="1" min="1" max="1" style="6" width="23.7109375"/>
    <col customWidth="1" min="2" max="2" style="8" width="19.85546875"/>
    <col customWidth="1" min="3" max="3" style="7" width="94.140625"/>
    <col customWidth="1" min="4" max="4" style="8" width="24.85546875"/>
    <col customWidth="1" min="5" max="5" style="7" width="101.28515625"/>
  </cols>
  <sheetData>
    <row r="1" ht="31.5" customHeight="1">
      <c r="A1" s="9" t="s">
        <v>10</v>
      </c>
      <c r="B1" s="10"/>
      <c r="C1" s="10"/>
      <c r="D1" s="10"/>
      <c r="E1" s="11"/>
    </row>
    <row r="2" ht="5.25" customHeight="1"/>
    <row r="3">
      <c r="A3" s="12" t="s">
        <v>11</v>
      </c>
      <c r="B3" s="13" t="s">
        <v>12</v>
      </c>
      <c r="C3" s="14" t="s">
        <v>13</v>
      </c>
      <c r="D3" s="14" t="s">
        <v>14</v>
      </c>
      <c r="E3" s="15" t="s">
        <v>15</v>
      </c>
      <c r="F3" s="5"/>
    </row>
    <row r="4" ht="15.75">
      <c r="A4" s="16"/>
      <c r="B4" s="17" t="s">
        <v>16</v>
      </c>
      <c r="C4" s="18" t="s">
        <v>17</v>
      </c>
      <c r="D4" s="18" t="s">
        <v>18</v>
      </c>
      <c r="E4" s="19" t="s">
        <v>19</v>
      </c>
      <c r="F4" s="5"/>
    </row>
    <row r="5" ht="4.5" customHeight="1">
      <c r="A5" s="20"/>
      <c r="B5" s="21"/>
      <c r="C5" s="21"/>
      <c r="D5" s="21"/>
      <c r="E5" s="22"/>
      <c r="F5" s="5"/>
      <c r="G5" s="5"/>
      <c r="H5" s="5"/>
      <c r="I5" s="5"/>
    </row>
    <row r="6" ht="32.25" customHeight="1">
      <c r="A6" s="23" t="s">
        <v>20</v>
      </c>
      <c r="B6" s="24" t="s">
        <v>21</v>
      </c>
      <c r="C6" s="120" t="s">
        <v>22</v>
      </c>
      <c r="D6" s="26" t="s">
        <v>23</v>
      </c>
      <c r="E6" s="121" t="s">
        <v>24</v>
      </c>
      <c r="F6" s="28" t="s">
        <v>25</v>
      </c>
      <c r="G6" s="5"/>
      <c r="H6" s="122" t="s">
        <v>108</v>
      </c>
      <c r="I6" s="123"/>
      <c r="J6" s="123"/>
      <c r="K6" s="124"/>
    </row>
    <row r="7" ht="21" customHeight="1">
      <c r="A7" s="29"/>
      <c r="B7" s="30"/>
      <c r="C7" s="125" t="s">
        <v>26</v>
      </c>
      <c r="D7" s="32"/>
      <c r="E7" s="126" t="s">
        <v>27</v>
      </c>
      <c r="F7" s="34"/>
      <c r="G7" s="5"/>
      <c r="H7" s="127"/>
      <c r="I7" s="128"/>
      <c r="J7" s="128"/>
      <c r="K7" s="129"/>
    </row>
    <row r="8" ht="21.75" customHeight="1">
      <c r="A8" s="29"/>
      <c r="B8" s="30"/>
      <c r="C8" s="35"/>
      <c r="D8" s="32"/>
      <c r="E8" s="33" t="s">
        <v>28</v>
      </c>
      <c r="F8" s="34"/>
      <c r="G8" s="5"/>
      <c r="H8" s="127"/>
      <c r="I8" s="128"/>
      <c r="J8" s="128"/>
      <c r="K8" s="129"/>
    </row>
    <row r="9" ht="32.25" customHeight="1">
      <c r="A9" s="29"/>
      <c r="B9" s="30"/>
      <c r="C9" s="35"/>
      <c r="D9" s="32"/>
      <c r="E9" s="33" t="s">
        <v>29</v>
      </c>
      <c r="F9" s="34"/>
      <c r="G9" s="5"/>
      <c r="H9" s="127"/>
      <c r="I9" s="128"/>
      <c r="J9" s="128"/>
      <c r="K9" s="129"/>
    </row>
    <row r="10" ht="32.25" customHeight="1">
      <c r="A10" s="36"/>
      <c r="B10" s="37"/>
      <c r="C10" s="38"/>
      <c r="D10" s="39"/>
      <c r="E10" s="40" t="s">
        <v>30</v>
      </c>
      <c r="F10" s="41"/>
      <c r="G10" s="5"/>
      <c r="H10" s="130"/>
      <c r="I10" s="131"/>
      <c r="J10" s="131"/>
      <c r="K10" s="132"/>
    </row>
    <row r="11" ht="4.5" customHeight="1">
      <c r="A11" s="20"/>
      <c r="B11" s="21"/>
      <c r="C11" s="21"/>
      <c r="D11" s="21"/>
      <c r="E11" s="22"/>
      <c r="F11" s="5"/>
      <c r="G11" s="5"/>
    </row>
    <row r="12" ht="19.5" customHeight="1">
      <c r="A12" s="23" t="s">
        <v>31</v>
      </c>
      <c r="B12" s="24" t="s">
        <v>21</v>
      </c>
      <c r="C12" s="133" t="s">
        <v>32</v>
      </c>
      <c r="D12" s="26" t="s">
        <v>33</v>
      </c>
      <c r="E12" s="43" t="s">
        <v>34</v>
      </c>
      <c r="F12" s="44" t="s">
        <v>25</v>
      </c>
      <c r="G12" s="5"/>
      <c r="H12" s="134" t="s">
        <v>109</v>
      </c>
      <c r="I12" s="135"/>
      <c r="J12" s="135"/>
      <c r="K12" s="136"/>
    </row>
    <row r="13">
      <c r="A13" s="45"/>
      <c r="B13" s="46"/>
      <c r="C13" s="137"/>
      <c r="D13" s="48"/>
      <c r="E13" s="49" t="s">
        <v>35</v>
      </c>
      <c r="F13" s="50"/>
      <c r="G13" s="5"/>
      <c r="H13" s="138"/>
      <c r="I13" s="139"/>
      <c r="J13" s="139"/>
      <c r="K13" s="140"/>
    </row>
    <row r="14" ht="19.5" customHeight="1">
      <c r="A14" s="45"/>
      <c r="B14" s="46"/>
      <c r="C14" s="35"/>
      <c r="D14" s="48"/>
      <c r="E14" s="49" t="s">
        <v>36</v>
      </c>
      <c r="F14" s="50"/>
      <c r="G14" s="5"/>
      <c r="H14" s="138"/>
      <c r="I14" s="139"/>
      <c r="J14" s="139"/>
      <c r="K14" s="140"/>
    </row>
    <row r="15" ht="15.75">
      <c r="A15" s="51"/>
      <c r="B15" s="52"/>
      <c r="C15" s="38"/>
      <c r="D15" s="53"/>
      <c r="E15" s="54" t="s">
        <v>37</v>
      </c>
      <c r="F15" s="55"/>
      <c r="G15" s="5"/>
      <c r="H15" s="141"/>
      <c r="I15" s="142"/>
      <c r="J15" s="142"/>
      <c r="K15" s="143"/>
    </row>
    <row r="16" ht="4.5" customHeight="1">
      <c r="A16" s="56"/>
      <c r="B16" s="57"/>
      <c r="C16" s="57"/>
      <c r="D16" s="57"/>
      <c r="E16" s="58"/>
      <c r="F16" s="5"/>
      <c r="G16" s="5"/>
    </row>
    <row r="17" ht="18.75" customHeight="1">
      <c r="A17" s="23" t="s">
        <v>38</v>
      </c>
      <c r="B17" s="24" t="s">
        <v>21</v>
      </c>
      <c r="C17" s="133" t="s">
        <v>39</v>
      </c>
      <c r="D17" s="144" t="s">
        <v>40</v>
      </c>
      <c r="E17" s="145" t="s">
        <v>41</v>
      </c>
      <c r="F17" s="28" t="s">
        <v>110</v>
      </c>
      <c r="G17" s="5"/>
      <c r="H17" s="134" t="s">
        <v>111</v>
      </c>
      <c r="I17" s="135"/>
      <c r="J17" s="135"/>
      <c r="K17" s="136"/>
    </row>
    <row r="18" ht="18.75" customHeight="1">
      <c r="A18" s="45"/>
      <c r="B18" s="46"/>
      <c r="C18" s="137" t="s">
        <v>42</v>
      </c>
      <c r="D18" s="146"/>
      <c r="E18" s="147"/>
      <c r="F18" s="34"/>
      <c r="G18" s="5"/>
      <c r="H18" s="138"/>
      <c r="I18" s="139"/>
      <c r="J18" s="139"/>
      <c r="K18" s="140"/>
    </row>
    <row r="19" ht="18.75" customHeight="1">
      <c r="A19" s="63"/>
      <c r="B19" s="64"/>
      <c r="C19" s="148" t="s">
        <v>43</v>
      </c>
      <c r="D19" s="149"/>
      <c r="E19" s="150"/>
      <c r="F19" s="34"/>
      <c r="G19" s="5"/>
      <c r="H19" s="138"/>
      <c r="I19" s="139"/>
      <c r="J19" s="139"/>
      <c r="K19" s="140"/>
    </row>
    <row r="20" ht="18" customHeight="1">
      <c r="A20" s="51"/>
      <c r="B20" s="52"/>
      <c r="C20" s="151" t="s">
        <v>44</v>
      </c>
      <c r="D20" s="152"/>
      <c r="E20" s="153"/>
      <c r="F20" s="41"/>
      <c r="G20" s="5"/>
      <c r="H20" s="141"/>
      <c r="I20" s="142"/>
      <c r="J20" s="142"/>
      <c r="K20" s="143"/>
    </row>
    <row r="21" ht="4.5" customHeight="1">
      <c r="A21" s="56"/>
      <c r="B21" s="57"/>
      <c r="C21" s="57"/>
      <c r="D21" s="57"/>
      <c r="E21" s="58"/>
      <c r="F21" s="5"/>
      <c r="G21" s="5"/>
    </row>
    <row r="22" ht="18.75" customHeight="1">
      <c r="A22" s="71" t="s">
        <v>45</v>
      </c>
      <c r="B22" s="72" t="s">
        <v>21</v>
      </c>
      <c r="C22" s="154" t="s">
        <v>46</v>
      </c>
      <c r="D22" s="74" t="s">
        <v>33</v>
      </c>
      <c r="E22" s="155" t="s">
        <v>47</v>
      </c>
      <c r="F22" s="44" t="s">
        <v>112</v>
      </c>
      <c r="G22" s="5"/>
      <c r="H22" s="122" t="s">
        <v>113</v>
      </c>
      <c r="I22" s="123"/>
      <c r="J22" s="123"/>
      <c r="K22" s="124"/>
    </row>
    <row r="23" ht="32.25" customHeight="1">
      <c r="A23" s="45"/>
      <c r="B23" s="46"/>
      <c r="C23" s="156" t="s">
        <v>49</v>
      </c>
      <c r="D23" s="48"/>
      <c r="E23" s="77" t="s">
        <v>50</v>
      </c>
      <c r="F23" s="50"/>
      <c r="G23" s="5"/>
      <c r="H23" s="127"/>
      <c r="I23" s="128"/>
      <c r="J23" s="128"/>
      <c r="K23" s="129"/>
    </row>
    <row r="24" ht="34.5" customHeight="1">
      <c r="A24" s="45"/>
      <c r="B24" s="46"/>
      <c r="C24" s="156" t="s">
        <v>51</v>
      </c>
      <c r="D24" s="48"/>
      <c r="E24" s="157" t="s">
        <v>52</v>
      </c>
      <c r="F24" s="50"/>
      <c r="G24" s="5"/>
      <c r="H24" s="127"/>
      <c r="I24" s="128"/>
      <c r="J24" s="128"/>
      <c r="K24" s="129"/>
    </row>
    <row r="25" ht="18.75" customHeight="1">
      <c r="A25" s="45"/>
      <c r="B25" s="46"/>
      <c r="C25" s="156" t="s">
        <v>53</v>
      </c>
      <c r="D25" s="48"/>
      <c r="E25" s="49" t="s">
        <v>54</v>
      </c>
      <c r="F25" s="50"/>
      <c r="G25" s="5"/>
      <c r="H25" s="127"/>
      <c r="I25" s="128"/>
      <c r="J25" s="128"/>
      <c r="K25" s="129"/>
    </row>
    <row r="26" ht="18.75" customHeight="1">
      <c r="A26" s="63"/>
      <c r="B26" s="64"/>
      <c r="C26" s="158" t="s">
        <v>55</v>
      </c>
      <c r="D26" s="79"/>
      <c r="E26" s="80"/>
      <c r="F26" s="50"/>
      <c r="G26" s="5"/>
      <c r="H26" s="127"/>
      <c r="I26" s="128"/>
      <c r="J26" s="128"/>
      <c r="K26" s="129"/>
    </row>
    <row r="27" ht="41.25" customHeight="1">
      <c r="A27" s="63"/>
      <c r="B27" s="64"/>
      <c r="C27" s="81"/>
      <c r="D27" s="79"/>
      <c r="E27" s="80"/>
      <c r="F27" s="55"/>
      <c r="G27" s="5"/>
      <c r="H27" s="130"/>
      <c r="I27" s="131"/>
      <c r="J27" s="131"/>
      <c r="K27" s="132"/>
    </row>
    <row r="28" ht="4.5" customHeight="1">
      <c r="A28" s="56"/>
      <c r="B28" s="57"/>
      <c r="C28" s="57"/>
      <c r="D28" s="57"/>
      <c r="E28" s="58"/>
      <c r="F28" s="5"/>
      <c r="G28" s="5"/>
      <c r="H28" s="5"/>
      <c r="I28" s="5"/>
    </row>
    <row r="29" ht="20.25" customHeight="1">
      <c r="A29" s="23" t="s">
        <v>56</v>
      </c>
      <c r="B29" s="24" t="s">
        <v>21</v>
      </c>
      <c r="C29" s="42" t="s">
        <v>57</v>
      </c>
      <c r="D29" s="26" t="s">
        <v>33</v>
      </c>
      <c r="E29" s="43" t="s">
        <v>58</v>
      </c>
      <c r="F29" s="44" t="s">
        <v>48</v>
      </c>
      <c r="H29" s="122" t="s">
        <v>114</v>
      </c>
      <c r="I29" s="123"/>
      <c r="J29" s="123"/>
      <c r="K29" s="124"/>
    </row>
    <row r="30" ht="21" customHeight="1">
      <c r="A30" s="45"/>
      <c r="B30" s="46"/>
      <c r="C30" s="47" t="s">
        <v>59</v>
      </c>
      <c r="D30" s="48"/>
      <c r="E30" s="49" t="s">
        <v>60</v>
      </c>
      <c r="F30" s="50"/>
      <c r="H30" s="127"/>
      <c r="I30" s="128"/>
      <c r="J30" s="128"/>
      <c r="K30" s="129"/>
    </row>
    <row r="31" ht="21" customHeight="1">
      <c r="A31" s="45"/>
      <c r="B31" s="46"/>
      <c r="C31" s="47" t="s">
        <v>61</v>
      </c>
      <c r="D31" s="48"/>
      <c r="E31" s="159" t="s">
        <v>62</v>
      </c>
      <c r="F31" s="50"/>
      <c r="H31" s="127"/>
      <c r="I31" s="128"/>
      <c r="J31" s="128"/>
      <c r="K31" s="129"/>
    </row>
    <row r="32" ht="21.75" customHeight="1">
      <c r="A32" s="51"/>
      <c r="B32" s="52"/>
      <c r="C32" s="68" t="s">
        <v>63</v>
      </c>
      <c r="D32" s="53"/>
      <c r="E32" s="54" t="s">
        <v>64</v>
      </c>
      <c r="F32" s="55"/>
      <c r="H32" s="130"/>
      <c r="I32" s="131"/>
      <c r="J32" s="131"/>
      <c r="K32" s="132"/>
    </row>
    <row r="33" ht="4.5" customHeight="1">
      <c r="A33" s="56"/>
      <c r="B33" s="57"/>
      <c r="C33" s="57"/>
      <c r="D33" s="57"/>
      <c r="E33" s="58"/>
      <c r="F33" s="5"/>
      <c r="G33" s="5"/>
      <c r="H33" s="5"/>
      <c r="I33" s="5"/>
    </row>
    <row r="34" ht="33" customHeight="1">
      <c r="A34" s="82" t="s">
        <v>65</v>
      </c>
      <c r="B34" s="24" t="s">
        <v>21</v>
      </c>
      <c r="C34" s="133" t="s">
        <v>66</v>
      </c>
      <c r="D34" s="26" t="s">
        <v>33</v>
      </c>
      <c r="E34" s="121" t="s">
        <v>67</v>
      </c>
      <c r="F34" s="44" t="s">
        <v>25</v>
      </c>
      <c r="H34" s="122" t="s">
        <v>115</v>
      </c>
      <c r="I34" s="123"/>
      <c r="J34" s="123"/>
      <c r="K34" s="124"/>
    </row>
    <row r="35" ht="33" customHeight="1">
      <c r="A35" s="83"/>
      <c r="B35" s="46"/>
      <c r="C35" s="137" t="s">
        <v>68</v>
      </c>
      <c r="D35" s="48"/>
      <c r="E35" s="31" t="s">
        <v>69</v>
      </c>
      <c r="F35" s="34"/>
      <c r="H35" s="127"/>
      <c r="I35" s="128"/>
      <c r="J35" s="128"/>
      <c r="K35" s="129"/>
    </row>
    <row r="36" ht="34.5" customHeight="1">
      <c r="A36" s="83"/>
      <c r="B36" s="46"/>
      <c r="C36" s="137" t="s">
        <v>70</v>
      </c>
      <c r="D36" s="48"/>
      <c r="E36" s="62" t="s">
        <v>71</v>
      </c>
      <c r="F36" s="50"/>
      <c r="H36" s="127"/>
      <c r="I36" s="128"/>
      <c r="J36" s="128"/>
      <c r="K36" s="129"/>
    </row>
    <row r="37" ht="15.75">
      <c r="A37" s="85"/>
      <c r="B37" s="52"/>
      <c r="C37" s="151" t="s">
        <v>72</v>
      </c>
      <c r="D37" s="53"/>
      <c r="E37" s="86"/>
      <c r="F37" s="55"/>
      <c r="H37" s="130"/>
      <c r="I37" s="131"/>
      <c r="J37" s="131"/>
      <c r="K37" s="132"/>
    </row>
    <row r="38" ht="4.5" customHeight="1">
      <c r="A38" s="56"/>
      <c r="B38" s="57"/>
      <c r="C38" s="57"/>
      <c r="D38" s="57"/>
      <c r="E38" s="58"/>
      <c r="F38" s="5"/>
      <c r="G38" s="5"/>
      <c r="H38" s="5"/>
      <c r="I38" s="5"/>
    </row>
    <row r="39" ht="34.5" customHeight="1">
      <c r="A39" s="82" t="s">
        <v>73</v>
      </c>
      <c r="B39" s="24" t="s">
        <v>21</v>
      </c>
      <c r="C39" s="160" t="s">
        <v>74</v>
      </c>
      <c r="D39" s="26" t="s">
        <v>33</v>
      </c>
      <c r="E39" s="121" t="s">
        <v>75</v>
      </c>
      <c r="F39" s="44" t="s">
        <v>48</v>
      </c>
      <c r="G39" s="5"/>
      <c r="H39" s="122" t="s">
        <v>116</v>
      </c>
      <c r="I39" s="123"/>
      <c r="J39" s="123"/>
      <c r="K39" s="124"/>
    </row>
    <row r="40">
      <c r="A40" s="83"/>
      <c r="B40" s="46"/>
      <c r="C40" s="154"/>
      <c r="D40" s="48"/>
      <c r="E40" s="126" t="s">
        <v>76</v>
      </c>
      <c r="F40" s="50"/>
      <c r="G40" s="5"/>
      <c r="H40" s="127"/>
      <c r="I40" s="128"/>
      <c r="J40" s="128"/>
      <c r="K40" s="129"/>
    </row>
    <row r="41" ht="30">
      <c r="A41" s="83"/>
      <c r="B41" s="46"/>
      <c r="C41" s="31" t="s">
        <v>77</v>
      </c>
      <c r="D41" s="48"/>
      <c r="E41" s="126" t="s">
        <v>78</v>
      </c>
      <c r="F41" s="50"/>
      <c r="G41" s="5"/>
      <c r="H41" s="127"/>
      <c r="I41" s="128"/>
      <c r="J41" s="128"/>
      <c r="K41" s="129"/>
    </row>
    <row r="42" ht="30.75">
      <c r="A42" s="85"/>
      <c r="B42" s="52"/>
      <c r="C42" s="88"/>
      <c r="D42" s="53"/>
      <c r="E42" s="161" t="s">
        <v>79</v>
      </c>
      <c r="F42" s="55"/>
      <c r="G42" s="5"/>
      <c r="H42" s="130"/>
      <c r="I42" s="131"/>
      <c r="J42" s="131"/>
      <c r="K42" s="132"/>
    </row>
    <row r="43" ht="4.5" customHeight="1">
      <c r="A43" s="56"/>
      <c r="B43" s="57"/>
      <c r="C43" s="57"/>
      <c r="D43" s="57"/>
      <c r="E43" s="58"/>
      <c r="F43" s="5"/>
      <c r="G43" s="5"/>
      <c r="H43" s="5"/>
      <c r="I43" s="5"/>
    </row>
    <row r="44" ht="18.75" customHeight="1">
      <c r="A44" s="82" t="s">
        <v>80</v>
      </c>
      <c r="B44" s="24" t="s">
        <v>21</v>
      </c>
      <c r="C44" s="133" t="s">
        <v>81</v>
      </c>
      <c r="D44" s="162" t="s">
        <v>33</v>
      </c>
      <c r="E44" s="121" t="s">
        <v>82</v>
      </c>
      <c r="F44" s="44" t="s">
        <v>110</v>
      </c>
      <c r="H44" s="134" t="s">
        <v>117</v>
      </c>
      <c r="I44" s="135"/>
      <c r="J44" s="135"/>
      <c r="K44" s="136"/>
    </row>
    <row r="45" ht="17.25" customHeight="1">
      <c r="A45" s="83"/>
      <c r="B45" s="46"/>
      <c r="C45" s="137" t="s">
        <v>83</v>
      </c>
      <c r="D45" s="163"/>
      <c r="E45" s="126" t="s">
        <v>84</v>
      </c>
      <c r="F45" s="50"/>
      <c r="H45" s="138"/>
      <c r="I45" s="139"/>
      <c r="J45" s="139"/>
      <c r="K45" s="140"/>
    </row>
    <row r="46" ht="18.75" customHeight="1">
      <c r="A46" s="83"/>
      <c r="B46" s="46"/>
      <c r="C46" s="137"/>
      <c r="D46" s="163"/>
      <c r="E46" s="126" t="s">
        <v>85</v>
      </c>
      <c r="F46" s="50"/>
      <c r="H46" s="138"/>
      <c r="I46" s="139"/>
      <c r="J46" s="139"/>
      <c r="K46" s="140"/>
    </row>
    <row r="47" ht="45.75">
      <c r="A47" s="85"/>
      <c r="B47" s="52"/>
      <c r="C47" s="164"/>
      <c r="D47" s="165"/>
      <c r="E47" s="161" t="s">
        <v>86</v>
      </c>
      <c r="F47" s="55"/>
      <c r="H47" s="141"/>
      <c r="I47" s="142"/>
      <c r="J47" s="142"/>
      <c r="K47" s="143"/>
    </row>
    <row r="48" ht="4.5" customHeight="1">
      <c r="A48" s="90"/>
      <c r="B48" s="91"/>
      <c r="C48" s="91"/>
      <c r="D48" s="91"/>
      <c r="E48" s="92"/>
      <c r="F48" s="5"/>
      <c r="G48" s="5"/>
      <c r="H48" s="5"/>
      <c r="I48" s="5"/>
    </row>
    <row r="49" ht="20.25" customHeight="1">
      <c r="A49" s="82" t="s">
        <v>87</v>
      </c>
      <c r="B49" s="93" t="s">
        <v>21</v>
      </c>
      <c r="C49" s="133" t="s">
        <v>88</v>
      </c>
      <c r="D49" s="94" t="s">
        <v>33</v>
      </c>
      <c r="E49" s="121" t="s">
        <v>89</v>
      </c>
      <c r="F49" s="28" t="s">
        <v>112</v>
      </c>
      <c r="H49" s="122" t="s">
        <v>118</v>
      </c>
      <c r="I49" s="123"/>
      <c r="J49" s="123"/>
      <c r="K49" s="124"/>
    </row>
    <row r="50" ht="19.5" customHeight="1">
      <c r="A50" s="83"/>
      <c r="B50" s="95"/>
      <c r="C50" s="137" t="s">
        <v>90</v>
      </c>
      <c r="D50" s="96"/>
      <c r="E50" s="126"/>
      <c r="F50" s="34"/>
      <c r="H50" s="127"/>
      <c r="I50" s="128"/>
      <c r="J50" s="128"/>
      <c r="K50" s="129"/>
    </row>
    <row r="51" ht="19.5" customHeight="1">
      <c r="A51" s="97"/>
      <c r="B51" s="98"/>
      <c r="C51" s="137" t="s">
        <v>91</v>
      </c>
      <c r="D51" s="99"/>
      <c r="E51" s="126" t="s">
        <v>119</v>
      </c>
      <c r="F51" s="34"/>
      <c r="H51" s="127"/>
      <c r="I51" s="128"/>
      <c r="J51" s="128"/>
      <c r="K51" s="129"/>
    </row>
    <row r="52" ht="19.5" customHeight="1">
      <c r="A52" s="97"/>
      <c r="B52" s="98"/>
      <c r="C52" s="137"/>
      <c r="D52" s="99"/>
      <c r="E52" s="126"/>
      <c r="F52" s="34"/>
      <c r="H52" s="127"/>
      <c r="I52" s="128"/>
      <c r="J52" s="128"/>
      <c r="K52" s="129"/>
    </row>
    <row r="53" ht="19.5" customHeight="1">
      <c r="A53" s="97"/>
      <c r="B53" s="98"/>
      <c r="C53" s="137" t="s">
        <v>93</v>
      </c>
      <c r="D53" s="99"/>
      <c r="E53" s="33" t="s">
        <v>94</v>
      </c>
      <c r="F53" s="34"/>
      <c r="H53" s="127"/>
      <c r="I53" s="128"/>
      <c r="J53" s="128"/>
      <c r="K53" s="129"/>
    </row>
    <row r="54" ht="19.5" customHeight="1">
      <c r="A54" s="97"/>
      <c r="B54" s="98"/>
      <c r="C54" s="137"/>
      <c r="D54" s="99"/>
      <c r="E54" s="33" t="s">
        <v>120</v>
      </c>
      <c r="F54" s="34"/>
      <c r="H54" s="127"/>
      <c r="I54" s="128"/>
      <c r="J54" s="128"/>
      <c r="K54" s="129"/>
    </row>
    <row r="55" ht="19.5" customHeight="1">
      <c r="A55" s="85"/>
      <c r="B55" s="100"/>
      <c r="C55" s="151"/>
      <c r="D55" s="101"/>
      <c r="E55" s="89"/>
      <c r="F55" s="41"/>
      <c r="H55" s="130"/>
      <c r="I55" s="131"/>
      <c r="J55" s="131"/>
      <c r="K55" s="132"/>
    </row>
    <row r="56" ht="4.5" customHeight="1">
      <c r="A56" s="90"/>
      <c r="B56" s="91"/>
      <c r="C56" s="91"/>
      <c r="D56" s="91"/>
      <c r="E56" s="92"/>
      <c r="F56" s="5"/>
      <c r="G56" s="5"/>
      <c r="H56" s="5"/>
      <c r="I56" s="5"/>
    </row>
    <row r="57" ht="30">
      <c r="A57" s="102" t="s">
        <v>96</v>
      </c>
      <c r="B57" s="24" t="s">
        <v>21</v>
      </c>
      <c r="C57" s="133" t="s">
        <v>97</v>
      </c>
      <c r="D57" s="162" t="s">
        <v>33</v>
      </c>
      <c r="E57" s="121" t="s">
        <v>98</v>
      </c>
      <c r="F57" s="44" t="s">
        <v>110</v>
      </c>
      <c r="G57" s="5"/>
      <c r="H57" s="134" t="s">
        <v>121</v>
      </c>
      <c r="I57" s="135"/>
      <c r="J57" s="135"/>
      <c r="K57" s="136"/>
    </row>
    <row r="58">
      <c r="A58" s="103"/>
      <c r="B58" s="46"/>
      <c r="C58" s="125" t="s">
        <v>99</v>
      </c>
      <c r="D58" s="163"/>
      <c r="E58" s="126" t="s">
        <v>100</v>
      </c>
      <c r="F58" s="50"/>
      <c r="G58" s="5"/>
      <c r="H58" s="138"/>
      <c r="I58" s="139"/>
      <c r="J58" s="139"/>
      <c r="K58" s="140"/>
    </row>
    <row r="59">
      <c r="A59" s="103"/>
      <c r="B59" s="46"/>
      <c r="C59" s="166"/>
      <c r="D59" s="163"/>
      <c r="E59" s="126" t="s">
        <v>101</v>
      </c>
      <c r="F59" s="50"/>
      <c r="H59" s="138"/>
      <c r="I59" s="139"/>
      <c r="J59" s="139"/>
      <c r="K59" s="140"/>
    </row>
    <row r="60" ht="30.75">
      <c r="A60" s="105"/>
      <c r="B60" s="52"/>
      <c r="C60" s="164"/>
      <c r="D60" s="165"/>
      <c r="E60" s="161" t="s">
        <v>102</v>
      </c>
      <c r="F60" s="55"/>
      <c r="H60" s="141"/>
      <c r="I60" s="142"/>
      <c r="J60" s="142"/>
      <c r="K60" s="143"/>
    </row>
    <row r="61" ht="15.75"/>
    <row r="62">
      <c r="E62" s="106" t="s">
        <v>103</v>
      </c>
      <c r="F62" s="107" t="s">
        <v>122</v>
      </c>
      <c r="J62" s="134" t="s">
        <v>123</v>
      </c>
      <c r="K62" s="136"/>
    </row>
    <row r="63" ht="15.75">
      <c r="E63" s="108"/>
      <c r="F63" s="109"/>
      <c r="J63" s="141"/>
      <c r="K63" s="143"/>
    </row>
    <row r="64">
      <c r="E64" s="110" t="s">
        <v>105</v>
      </c>
      <c r="F64" s="111">
        <f>COUNTIF(F6:F60,"S")*0.6 + COUNTIF(F6:F60,"G")*0.8 + COUNTIF(F6:F60,"E")*1</f>
        <v>6.4000000000000004</v>
      </c>
      <c r="G64" s="112" t="s">
        <v>106</v>
      </c>
      <c r="H64" s="113">
        <f>ROUND(F64,0)</f>
        <v>6</v>
      </c>
    </row>
    <row r="65" ht="15.75">
      <c r="E65" s="114"/>
      <c r="F65" s="115">
        <f>COUNTIF(F48:F63,"S")*0.375 + COUNTIF(F48:F63,"G")*0.55 + COUNTIF(F48:F63,"E")*0.75</f>
        <v>1.3</v>
      </c>
      <c r="G65" s="116"/>
      <c r="H65" s="117"/>
    </row>
    <row r="67">
      <c r="E67" s="118" t="s">
        <v>107</v>
      </c>
      <c r="F67">
        <f>COUNTIF(F6:F60,"I")</f>
        <v>2</v>
      </c>
    </row>
    <row r="68">
      <c r="F68" s="119"/>
    </row>
    <row r="69">
      <c r="E69" s="167" t="s">
        <v>124</v>
      </c>
    </row>
    <row r="70">
      <c r="E70" s="168"/>
    </row>
    <row r="71">
      <c r="E71" s="169"/>
    </row>
  </sheetData>
  <sheetProtection autoFilter="1" deleteColumns="1" deleteRows="1" formatCells="0" formatColumns="1" formatRows="1" insertColumns="1" insertHyperlinks="1" insertRows="1" pivotTables="1" selectLockedCells="1" selectUnlockedCells="0" sheet="0" sort="1"/>
  <mergeCells count="74">
    <mergeCell ref="F6:F10"/>
    <mergeCell ref="C8:C10"/>
    <mergeCell ref="A1:E1"/>
    <mergeCell ref="A3:A4"/>
    <mergeCell ref="A6:A10"/>
    <mergeCell ref="B6:B10"/>
    <mergeCell ref="D6:D10"/>
    <mergeCell ref="A12:A15"/>
    <mergeCell ref="B12:B15"/>
    <mergeCell ref="C12:C13"/>
    <mergeCell ref="D12:D15"/>
    <mergeCell ref="F12:F15"/>
    <mergeCell ref="C14:C15"/>
    <mergeCell ref="A17:A20"/>
    <mergeCell ref="B17:B20"/>
    <mergeCell ref="D17:D20"/>
    <mergeCell ref="F17:F20"/>
    <mergeCell ref="A22:A27"/>
    <mergeCell ref="B22:B27"/>
    <mergeCell ref="D22:D27"/>
    <mergeCell ref="F22:F27"/>
    <mergeCell ref="E25:E27"/>
    <mergeCell ref="A29:A32"/>
    <mergeCell ref="B29:B32"/>
    <mergeCell ref="D29:D32"/>
    <mergeCell ref="F29:F32"/>
    <mergeCell ref="A34:A37"/>
    <mergeCell ref="B34:B37"/>
    <mergeCell ref="D34:D37"/>
    <mergeCell ref="F34:F37"/>
    <mergeCell ref="E36:E37"/>
    <mergeCell ref="F39:F42"/>
    <mergeCell ref="A44:A47"/>
    <mergeCell ref="B44:B47"/>
    <mergeCell ref="D44:D47"/>
    <mergeCell ref="F44:F47"/>
    <mergeCell ref="C45:C46"/>
    <mergeCell ref="E54:E55"/>
    <mergeCell ref="A39:A42"/>
    <mergeCell ref="B39:B42"/>
    <mergeCell ref="C39:C40"/>
    <mergeCell ref="D39:D42"/>
    <mergeCell ref="H64:H65"/>
    <mergeCell ref="H12:K15"/>
    <mergeCell ref="A57:A60"/>
    <mergeCell ref="B57:B60"/>
    <mergeCell ref="D57:D60"/>
    <mergeCell ref="F57:F60"/>
    <mergeCell ref="E62:E63"/>
    <mergeCell ref="F62:F63"/>
    <mergeCell ref="A49:A55"/>
    <mergeCell ref="B49:B55"/>
    <mergeCell ref="D49:D55"/>
    <mergeCell ref="E49:E50"/>
    <mergeCell ref="F49:F55"/>
    <mergeCell ref="C51:C52"/>
    <mergeCell ref="E51:E52"/>
    <mergeCell ref="C53:C55"/>
    <mergeCell ref="J62:K63"/>
    <mergeCell ref="E69:E71"/>
    <mergeCell ref="H6:K10"/>
    <mergeCell ref="H17:K20"/>
    <mergeCell ref="H22:K27"/>
    <mergeCell ref="H29:K32"/>
    <mergeCell ref="E17:E18"/>
    <mergeCell ref="E19:E20"/>
    <mergeCell ref="H49:K55"/>
    <mergeCell ref="H34:K37"/>
    <mergeCell ref="H39:K42"/>
    <mergeCell ref="H44:K47"/>
    <mergeCell ref="H57:K60"/>
    <mergeCell ref="E64:E65"/>
    <mergeCell ref="F64:F65"/>
    <mergeCell ref="G64:G6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2" operator="equal" stopIfTrue="1" id="{00F4003B-00A0-4A5D-8F33-0016007D00C5}">
            <xm:f>"I"</xm:f>
            <x14:dxf>
              <font>
                <color rgb="FF9C0006"/>
              </font>
              <fill>
                <patternFill patternType="solid">
                  <fgColor rgb="FFFFC7CE"/>
                  <bgColor rgb="FFFFC7CE"/>
                </patternFill>
              </fill>
            </x14:dxf>
          </x14:cfRule>
          <xm:sqref>F6:F10 F12 F17 F22 F29 F34 F39 F44 F49 F57</xm:sqref>
        </x14:conditionalFormatting>
        <x14:conditionalFormatting xmlns:xm="http://schemas.microsoft.com/office/excel/2006/main">
          <x14:cfRule type="cellIs" priority="1" operator="equal" id="{00300008-002B-4454-9E21-007600B200AB}">
            <xm:f>"NO"</xm:f>
            <x14:dxf>
              <font>
                <color rgb="FF9C0006"/>
              </font>
              <fill>
                <patternFill patternType="solid">
                  <fgColor rgb="FFFFC7CE"/>
                  <bgColor rgb="FFFFC7CE"/>
                </patternFill>
              </fill>
            </x14:dxf>
          </x14:cfRule>
          <xm:sqref>F62:F63</xm:sqref>
        </x14:conditionalFormatting>
        <x14:conditionalFormatting xmlns:xm="http://schemas.microsoft.com/office/excel/2006/main">
          <x14:cfRule type="expression" priority="3" id="{00D80043-0069-4FEF-9DEA-00B10006001F}">
            <xm:f>(COUNTIF(F6:F60,"I")+COUNTIF(F62,"NO") &gt; 0)</xm:f>
            <x14:dxf>
              <fill>
                <patternFill patternType="solid">
                  <fgColor indexed="2"/>
                  <bgColor indexed="2"/>
                </patternFill>
              </fill>
            </x14:dxf>
          </x14:cfRule>
          <xm:sqref>F64</xm:sqref>
        </x14:conditionalFormatting>
      </x14:conditionalFormattings>
    </ext>
    <ext xmlns:x14="http://schemas.microsoft.com/office/spreadsheetml/2009/9/main" uri="{CCE6A557-97BC-4b89-ADB6-D9C93CAAB3DF}">
      <x14:dataValidations xmlns:xm="http://schemas.microsoft.com/office/excel/2006/main" count="2" disablePrompts="0">
        <x14:dataValidation xr:uid="{002C000E-00FF-4167-AFED-007E00820051}" type="list" allowBlank="1" errorStyle="stop" imeMode="noControl" operator="between" showDropDown="0" showErrorMessage="1" showInputMessage="1">
          <x14:formula1>
            <xm:f>"I,S,G,E"</xm:f>
          </x14:formula1>
          <xm:sqref>F12:F15 F17:F19 F22:F23 F29:F32 F34:F37 F39:F42 F44:F47 F49:F55 F57:F60 F6:F10</xm:sqref>
        </x14:dataValidation>
        <x14:dataValidation xr:uid="{006F00CE-003F-41C4-A785-00040024007C}" type="list" allowBlank="1" errorStyle="stop" imeMode="noControl" operator="between" showDropDown="0" showErrorMessage="1" showInputMessage="1">
          <x14:formula1>
            <xm:f>"YES,NO"</xm:f>
          </x14:formula1>
          <xm:sqref>F62:F63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ONLYOFFICE/9.1.0.173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Wichman</dc:creator>
  <cp:revision>1</cp:revision>
  <dcterms:created xsi:type="dcterms:W3CDTF">2015-06-05T18:19:34Z</dcterms:created>
  <dcterms:modified xsi:type="dcterms:W3CDTF">2026-10-06T13:48:28Z</dcterms:modified>
</cp:coreProperties>
</file>